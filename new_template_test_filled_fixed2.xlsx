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G:\My Drive\payroll-pc\"/>
    </mc:Choice>
  </mc:AlternateContent>
  <xr:revisionPtr revIDLastSave="0" documentId="13_ncr:1_{D60193EB-8BF5-46B1-A7FF-B7A57BD053C3}" xr6:coauthVersionLast="47" xr6:coauthVersionMax="47" xr10:uidLastSave="{00000000-0000-0000-0000-000000000000}"/>
  <bookViews>
    <workbookView xWindow="25017" yWindow="641" windowWidth="25370" windowHeight="13667" xr2:uid="{00000000-000D-0000-FFFF-FFFF00000000}"/>
  </bookViews>
  <sheets>
    <sheet name="Payroll Weekly Samp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6sDLk5mFdBdueNXSAPTG/xTHqDqbRbjuoXCng240G8Q="/>
    </ext>
  </extLst>
</workbook>
</file>

<file path=xl/sharedStrings.xml><?xml version="1.0" encoding="utf-8"?>
<sst xmlns="http://schemas.openxmlformats.org/spreadsheetml/2006/main" count="92" uniqueCount="69">
  <si>
    <t>EMPLOYEE DEPARTMENT</t>
  </si>
  <si>
    <t>Rate</t>
  </si>
  <si>
    <t>TOTAL</t>
  </si>
  <si>
    <t>SCANIO</t>
  </si>
  <si>
    <t>SEA AND AIR</t>
  </si>
  <si>
    <t>FLAT PRICE</t>
  </si>
  <si>
    <t>(hr)</t>
  </si>
  <si>
    <t>$$</t>
  </si>
  <si>
    <t>over-time only</t>
  </si>
  <si>
    <t>comm</t>
  </si>
  <si>
    <t>(hr%)</t>
  </si>
  <si>
    <t>total hr</t>
  </si>
  <si>
    <t>SCANIO MOVING</t>
  </si>
  <si>
    <t>Adriano Rodallega</t>
  </si>
  <si>
    <t>Ang F Sherpa</t>
  </si>
  <si>
    <t>Corio Jamal Vinson</t>
  </si>
  <si>
    <t>Christian F Baena</t>
  </si>
  <si>
    <t>Boris Brin</t>
  </si>
  <si>
    <t>Christian M Font</t>
  </si>
  <si>
    <t>Danylo Chernysh</t>
  </si>
  <si>
    <t>Daniil Eremenkov</t>
  </si>
  <si>
    <t>Daniel Richiez</t>
  </si>
  <si>
    <t>David Torres</t>
  </si>
  <si>
    <t xml:space="preserve">Efrain Gongora </t>
  </si>
  <si>
    <t>Farukh Baymatov</t>
  </si>
  <si>
    <t>Jimmy K Crawford</t>
  </si>
  <si>
    <t>John Velez</t>
  </si>
  <si>
    <t>Maksim Ivashchanka</t>
  </si>
  <si>
    <t>Maksym Lelytsia</t>
  </si>
  <si>
    <t>Sandesh Purja</t>
  </si>
  <si>
    <t>Sonam Sherpa</t>
  </si>
  <si>
    <t>Terry R Maynard</t>
  </si>
  <si>
    <t>Surya Hamal</t>
  </si>
  <si>
    <t>Total</t>
  </si>
  <si>
    <t>%</t>
  </si>
  <si>
    <t>Amount to be reimb salary</t>
  </si>
  <si>
    <t>SCANIO STORAGE</t>
  </si>
  <si>
    <t>David E Aubert</t>
  </si>
  <si>
    <t>Ron Cohen</t>
  </si>
  <si>
    <t>Reginald Debson</t>
  </si>
  <si>
    <t>Mario Gomez -2</t>
  </si>
  <si>
    <t>Mamadou Yamar Diop</t>
  </si>
  <si>
    <t>SEA AND AIR INT-L</t>
  </si>
  <si>
    <t>Ang Sona Sherpa</t>
  </si>
  <si>
    <t>Fnu Rigjin Dawa</t>
  </si>
  <si>
    <t>Hishey L Lama</t>
  </si>
  <si>
    <t>Kye DeVonte White</t>
  </si>
  <si>
    <t>Lakpa S Sherpa</t>
  </si>
  <si>
    <t>Mario J Gomez</t>
  </si>
  <si>
    <t>Oleksii Danylenko</t>
  </si>
  <si>
    <t>Vladyslav Kandybiei</t>
  </si>
  <si>
    <t>Sonam T Lama</t>
  </si>
  <si>
    <t>Vincent Vails</t>
  </si>
  <si>
    <t xml:space="preserve">FLAT PRICE </t>
  </si>
  <si>
    <t>Chhiring L Gurung</t>
  </si>
  <si>
    <t>Dwayne K Guerra</t>
  </si>
  <si>
    <t>Dorgee Namjom</t>
  </si>
  <si>
    <t>John Johnson</t>
  </si>
  <si>
    <t>Phuri Sherpa</t>
  </si>
  <si>
    <t>Nurba T Gurung</t>
  </si>
  <si>
    <t>Tyshawn Eugene Allen</t>
  </si>
  <si>
    <t>Juan Francisco Cevallos Garzon</t>
  </si>
  <si>
    <t>Total over-time</t>
  </si>
  <si>
    <t>Due from Scanio to Sea &amp; Air</t>
  </si>
  <si>
    <t>Due from Scanio to FP</t>
  </si>
  <si>
    <t>Due from Sea &amp; Air to FP</t>
  </si>
  <si>
    <t>Due from Scanio to Sea &amp; Air (cash)</t>
  </si>
  <si>
    <t>Due from Scanio to FP (cash)</t>
  </si>
  <si>
    <t>Due from Sea &amp; Air to FP (cash)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</si>
</sst>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7" formatCode="&quot;$&quot;#,##0.00_);\(&quot;$&quot;#,##0.0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.0_);_(* \(#,##0.0\);_(* &quot;-&quot;?_);_(@_)"/>
    <numFmt numFmtId="165" formatCode="_(* #,##0.00_);_(* \(#,##0.00\);_(* &quot;-&quot;?_);_(@_)"/>
    <numFmt numFmtId="166" formatCode="_(* #,##0.000_);_(* \(#,##0.000\);_(* &quot;-&quot;???_);_(@_)"/>
    <numFmt numFmtId="167" formatCode="&quot;$&quot;#,##0.00"/>
  </numFmts>
  <fonts count="8" x14ac:knownFonts="1">
    <font>
      <sz val="11"/>
      <color theme="1"/>
      <name val="Arial"/>
      <scheme val="minor"/>
    </font>
    <font>
      <sz val="10"/>
      <color theme="1"/>
      <name val="Arial"/>
    </font>
    <font>
      <sz val="11"/>
      <name val="Arial"/>
    </font>
    <font>
      <b/>
      <sz val="10"/>
      <color theme="1"/>
      <name val="Arial"/>
    </font>
    <font>
      <b/>
      <sz val="10"/>
      <color rgb="FFC00000"/>
      <name val="Arial"/>
    </font>
    <font>
      <sz val="11"/>
      <color theme="1"/>
      <name val="Arial"/>
    </font>
    <font>
      <sz val="10"/>
      <color rgb="FFC00000"/>
      <name val="Arial"/>
    </font>
    <font>
      <sz val="10"/>
      <color rgb="FF002060"/>
      <name val="Arial"/>
    </font>
  </fonts>
  <fills count="9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  <fill>
      <patternFill patternType="solid">
        <fgColor rgb="FFBFBFBF"/>
        <bgColor rgb="FFBFBFBF"/>
      </patternFill>
    </fill>
    <fill>
      <patternFill patternType="solid">
        <fgColor rgb="FF00B0F0"/>
        <bgColor rgb="FF00B0F0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  <fill>
      <patternFill patternType="solid">
        <fgColor rgb="FF92D050"/>
        <bgColor rgb="FF92D050"/>
      </patternFill>
    </fill>
  </fills>
  <borders count="65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67">
    <xf numFmtId="0" fontId="0" fillId="0" borderId="0" xfId="0"/>
    <xf numFmtId="1" fontId="1" fillId="0" borderId="0" xfId="0" applyNumberFormat="1" applyFont="1"/>
    <xf numFmtId="0" fontId="1" fillId="0" borderId="0" xfId="0" applyFont="1"/>
    <xf numFmtId="0" fontId="1" fillId="2" borderId="1" xfId="0" applyFont="1" applyFill="1" applyBorder="1"/>
    <xf numFmtId="0" fontId="1" fillId="3" borderId="1" xfId="0" applyFont="1" applyFill="1" applyBorder="1"/>
    <xf numFmtId="0" fontId="1" fillId="0" borderId="2" xfId="0" applyFont="1" applyBorder="1"/>
    <xf numFmtId="0" fontId="1" fillId="0" borderId="3" xfId="0" applyFont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0" fontId="1" fillId="0" borderId="7" xfId="0" applyFont="1" applyBorder="1"/>
    <xf numFmtId="0" fontId="1" fillId="2" borderId="3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1" fontId="3" fillId="0" borderId="0" xfId="0" applyNumberFormat="1" applyFont="1"/>
    <xf numFmtId="0" fontId="3" fillId="0" borderId="8" xfId="0" applyFont="1" applyBorder="1"/>
    <xf numFmtId="0" fontId="3" fillId="0" borderId="9" xfId="0" applyFont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0" xfId="0" applyFont="1"/>
    <xf numFmtId="0" fontId="4" fillId="0" borderId="12" xfId="0" applyFont="1" applyBorder="1"/>
    <xf numFmtId="0" fontId="1" fillId="0" borderId="13" xfId="0" applyFont="1" applyBorder="1"/>
    <xf numFmtId="164" fontId="1" fillId="2" borderId="14" xfId="0" applyNumberFormat="1" applyFont="1" applyFill="1" applyBorder="1"/>
    <xf numFmtId="43" fontId="1" fillId="0" borderId="15" xfId="0" applyNumberFormat="1" applyFont="1" applyBorder="1"/>
    <xf numFmtId="43" fontId="1" fillId="3" borderId="15" xfId="0" applyNumberFormat="1" applyFont="1" applyFill="1" applyBorder="1"/>
    <xf numFmtId="165" fontId="1" fillId="0" borderId="16" xfId="0" applyNumberFormat="1" applyFont="1" applyBorder="1"/>
    <xf numFmtId="9" fontId="1" fillId="0" borderId="15" xfId="0" applyNumberFormat="1" applyFont="1" applyBorder="1"/>
    <xf numFmtId="165" fontId="1" fillId="0" borderId="13" xfId="0" applyNumberFormat="1" applyFont="1" applyBorder="1"/>
    <xf numFmtId="165" fontId="1" fillId="0" borderId="15" xfId="0" applyNumberFormat="1" applyFont="1" applyBorder="1"/>
    <xf numFmtId="165" fontId="1" fillId="0" borderId="17" xfId="0" applyNumberFormat="1" applyFont="1" applyBorder="1"/>
    <xf numFmtId="0" fontId="1" fillId="0" borderId="18" xfId="0" applyFont="1" applyBorder="1"/>
    <xf numFmtId="0" fontId="1" fillId="0" borderId="5" xfId="0" applyFont="1" applyBorder="1"/>
    <xf numFmtId="164" fontId="1" fillId="2" borderId="3" xfId="0" applyNumberFormat="1" applyFont="1" applyFill="1" applyBorder="1"/>
    <xf numFmtId="43" fontId="1" fillId="0" borderId="6" xfId="0" applyNumberFormat="1" applyFont="1" applyBorder="1"/>
    <xf numFmtId="43" fontId="1" fillId="0" borderId="3" xfId="0" applyNumberFormat="1" applyFont="1" applyBorder="1"/>
    <xf numFmtId="43" fontId="1" fillId="3" borderId="3" xfId="0" applyNumberFormat="1" applyFont="1" applyFill="1" applyBorder="1"/>
    <xf numFmtId="165" fontId="1" fillId="0" borderId="4" xfId="0" applyNumberFormat="1" applyFont="1" applyBorder="1"/>
    <xf numFmtId="9" fontId="1" fillId="0" borderId="3" xfId="0" applyNumberFormat="1" applyFont="1" applyBorder="1"/>
    <xf numFmtId="165" fontId="1" fillId="0" borderId="6" xfId="0" applyNumberFormat="1" applyFont="1" applyBorder="1"/>
    <xf numFmtId="165" fontId="1" fillId="0" borderId="3" xfId="0" applyNumberFormat="1" applyFont="1" applyBorder="1"/>
    <xf numFmtId="165" fontId="1" fillId="0" borderId="19" xfId="0" applyNumberFormat="1" applyFont="1" applyBorder="1"/>
    <xf numFmtId="0" fontId="4" fillId="0" borderId="18" xfId="0" applyFont="1" applyBorder="1"/>
    <xf numFmtId="43" fontId="1" fillId="0" borderId="7" xfId="0" applyNumberFormat="1" applyFont="1" applyBorder="1"/>
    <xf numFmtId="165" fontId="1" fillId="0" borderId="20" xfId="0" applyNumberFormat="1" applyFont="1" applyBorder="1"/>
    <xf numFmtId="165" fontId="1" fillId="0" borderId="21" xfId="0" applyNumberFormat="1" applyFont="1" applyBorder="1"/>
    <xf numFmtId="165" fontId="1" fillId="0" borderId="7" xfId="0" applyNumberFormat="1" applyFont="1" applyBorder="1"/>
    <xf numFmtId="0" fontId="1" fillId="0" borderId="9" xfId="0" applyFont="1" applyBorder="1"/>
    <xf numFmtId="43" fontId="1" fillId="0" borderId="2" xfId="0" applyNumberFormat="1" applyFont="1" applyBorder="1"/>
    <xf numFmtId="165" fontId="1" fillId="0" borderId="8" xfId="0" applyNumberFormat="1" applyFont="1" applyBorder="1"/>
    <xf numFmtId="165" fontId="1" fillId="0" borderId="11" xfId="0" applyNumberFormat="1" applyFont="1" applyBorder="1"/>
    <xf numFmtId="165" fontId="1" fillId="0" borderId="2" xfId="0" applyNumberFormat="1" applyFont="1" applyBorder="1"/>
    <xf numFmtId="0" fontId="1" fillId="0" borderId="22" xfId="0" applyFont="1" applyBorder="1"/>
    <xf numFmtId="0" fontId="1" fillId="0" borderId="23" xfId="0" applyFont="1" applyBorder="1"/>
    <xf numFmtId="164" fontId="1" fillId="2" borderId="24" xfId="0" applyNumberFormat="1" applyFont="1" applyFill="1" applyBorder="1"/>
    <xf numFmtId="43" fontId="1" fillId="0" borderId="25" xfId="0" applyNumberFormat="1" applyFont="1" applyBorder="1"/>
    <xf numFmtId="43" fontId="1" fillId="3" borderId="25" xfId="0" applyNumberFormat="1" applyFont="1" applyFill="1" applyBorder="1"/>
    <xf numFmtId="165" fontId="1" fillId="0" borderId="26" xfId="0" applyNumberFormat="1" applyFont="1" applyBorder="1"/>
    <xf numFmtId="9" fontId="1" fillId="0" borderId="25" xfId="0" applyNumberFormat="1" applyFont="1" applyBorder="1"/>
    <xf numFmtId="165" fontId="1" fillId="0" borderId="23" xfId="0" applyNumberFormat="1" applyFont="1" applyBorder="1"/>
    <xf numFmtId="165" fontId="1" fillId="0" borderId="25" xfId="0" applyNumberFormat="1" applyFont="1" applyBorder="1"/>
    <xf numFmtId="165" fontId="1" fillId="0" borderId="27" xfId="0" applyNumberFormat="1" applyFont="1" applyBorder="1"/>
    <xf numFmtId="0" fontId="3" fillId="0" borderId="28" xfId="0" applyFont="1" applyBorder="1"/>
    <xf numFmtId="0" fontId="3" fillId="0" borderId="29" xfId="0" applyFont="1" applyBorder="1"/>
    <xf numFmtId="164" fontId="3" fillId="2" borderId="30" xfId="0" applyNumberFormat="1" applyFont="1" applyFill="1" applyBorder="1"/>
    <xf numFmtId="44" fontId="3" fillId="0" borderId="31" xfId="0" applyNumberFormat="1" applyFont="1" applyBorder="1"/>
    <xf numFmtId="44" fontId="3" fillId="3" borderId="30" xfId="0" applyNumberFormat="1" applyFont="1" applyFill="1" applyBorder="1"/>
    <xf numFmtId="165" fontId="3" fillId="0" borderId="31" xfId="0" applyNumberFormat="1" applyFont="1" applyBorder="1"/>
    <xf numFmtId="9" fontId="1" fillId="0" borderId="29" xfId="0" applyNumberFormat="1" applyFont="1" applyBorder="1"/>
    <xf numFmtId="9" fontId="1" fillId="0" borderId="31" xfId="0" applyNumberFormat="1" applyFont="1" applyBorder="1"/>
    <xf numFmtId="165" fontId="3" fillId="0" borderId="32" xfId="0" applyNumberFormat="1" applyFont="1" applyBorder="1"/>
    <xf numFmtId="164" fontId="3" fillId="0" borderId="0" xfId="0" applyNumberFormat="1" applyFont="1"/>
    <xf numFmtId="0" fontId="1" fillId="0" borderId="7" xfId="0" applyFont="1" applyBorder="1" applyAlignment="1">
      <alignment horizontal="center"/>
    </xf>
    <xf numFmtId="164" fontId="1" fillId="2" borderId="1" xfId="0" applyNumberFormat="1" applyFont="1" applyFill="1" applyBorder="1"/>
    <xf numFmtId="166" fontId="1" fillId="0" borderId="0" xfId="0" applyNumberFormat="1" applyFont="1"/>
    <xf numFmtId="44" fontId="1" fillId="0" borderId="0" xfId="0" applyNumberFormat="1" applyFont="1"/>
    <xf numFmtId="44" fontId="3" fillId="3" borderId="33" xfId="0" applyNumberFormat="1" applyFont="1" applyFill="1" applyBorder="1"/>
    <xf numFmtId="44" fontId="1" fillId="0" borderId="34" xfId="0" applyNumberFormat="1" applyFont="1" applyBorder="1"/>
    <xf numFmtId="43" fontId="1" fillId="0" borderId="35" xfId="0" applyNumberFormat="1" applyFont="1" applyBorder="1"/>
    <xf numFmtId="0" fontId="3" fillId="0" borderId="36" xfId="0" applyFont="1" applyBorder="1"/>
    <xf numFmtId="44" fontId="1" fillId="0" borderId="35" xfId="0" applyNumberFormat="1" applyFont="1" applyBorder="1"/>
    <xf numFmtId="164" fontId="3" fillId="0" borderId="36" xfId="0" applyNumberFormat="1" applyFont="1" applyBorder="1"/>
    <xf numFmtId="167" fontId="3" fillId="0" borderId="35" xfId="0" applyNumberFormat="1" applyFont="1" applyBorder="1"/>
    <xf numFmtId="167" fontId="1" fillId="0" borderId="0" xfId="0" applyNumberFormat="1" applyFont="1"/>
    <xf numFmtId="0" fontId="1" fillId="0" borderId="0" xfId="0" applyFont="1" applyAlignment="1">
      <alignment horizontal="center"/>
    </xf>
    <xf numFmtId="167" fontId="3" fillId="0" borderId="37" xfId="0" applyNumberFormat="1" applyFont="1" applyBorder="1"/>
    <xf numFmtId="167" fontId="3" fillId="0" borderId="0" xfId="0" applyNumberFormat="1" applyFont="1"/>
    <xf numFmtId="0" fontId="3" fillId="0" borderId="32" xfId="0" applyFont="1" applyBorder="1"/>
    <xf numFmtId="0" fontId="1" fillId="0" borderId="35" xfId="0" applyFont="1" applyBorder="1"/>
    <xf numFmtId="164" fontId="1" fillId="2" borderId="38" xfId="0" applyNumberFormat="1" applyFont="1" applyFill="1" applyBorder="1"/>
    <xf numFmtId="0" fontId="1" fillId="0" borderId="39" xfId="0" applyFont="1" applyBorder="1"/>
    <xf numFmtId="0" fontId="1" fillId="3" borderId="38" xfId="0" applyFont="1" applyFill="1" applyBorder="1"/>
    <xf numFmtId="0" fontId="1" fillId="0" borderId="34" xfId="0" applyFont="1" applyBorder="1"/>
    <xf numFmtId="0" fontId="1" fillId="0" borderId="15" xfId="0" applyFont="1" applyBorder="1"/>
    <xf numFmtId="164" fontId="1" fillId="2" borderId="15" xfId="0" applyNumberFormat="1" applyFont="1" applyFill="1" applyBorder="1"/>
    <xf numFmtId="43" fontId="1" fillId="0" borderId="13" xfId="0" applyNumberFormat="1" applyFont="1" applyBorder="1"/>
    <xf numFmtId="0" fontId="3" fillId="0" borderId="18" xfId="0" applyFont="1" applyBorder="1"/>
    <xf numFmtId="0" fontId="1" fillId="0" borderId="3" xfId="0" applyFont="1" applyBorder="1"/>
    <xf numFmtId="43" fontId="1" fillId="0" borderId="21" xfId="0" applyNumberFormat="1" applyFont="1" applyBorder="1"/>
    <xf numFmtId="165" fontId="1" fillId="0" borderId="40" xfId="0" applyNumberFormat="1" applyFont="1" applyBorder="1"/>
    <xf numFmtId="44" fontId="3" fillId="0" borderId="41" xfId="0" applyNumberFormat="1" applyFont="1" applyBorder="1"/>
    <xf numFmtId="44" fontId="3" fillId="3" borderId="42" xfId="0" applyNumberFormat="1" applyFont="1" applyFill="1" applyBorder="1"/>
    <xf numFmtId="165" fontId="3" fillId="0" borderId="41" xfId="0" applyNumberFormat="1" applyFont="1" applyBorder="1"/>
    <xf numFmtId="165" fontId="3" fillId="0" borderId="43" xfId="0" applyNumberFormat="1" applyFont="1" applyBorder="1"/>
    <xf numFmtId="0" fontId="1" fillId="0" borderId="44" xfId="0" applyFont="1" applyBorder="1" applyAlignment="1">
      <alignment horizontal="center"/>
    </xf>
    <xf numFmtId="41" fontId="1" fillId="0" borderId="0" xfId="0" applyNumberFormat="1" applyFont="1"/>
    <xf numFmtId="41" fontId="1" fillId="3" borderId="1" xfId="0" applyNumberFormat="1" applyFont="1" applyFill="1" applyBorder="1"/>
    <xf numFmtId="44" fontId="1" fillId="0" borderId="32" xfId="0" applyNumberFormat="1" applyFont="1" applyBorder="1"/>
    <xf numFmtId="7" fontId="1" fillId="0" borderId="0" xfId="0" applyNumberFormat="1" applyFont="1"/>
    <xf numFmtId="44" fontId="3" fillId="0" borderId="35" xfId="0" applyNumberFormat="1" applyFont="1" applyBorder="1"/>
    <xf numFmtId="0" fontId="3" fillId="0" borderId="39" xfId="0" applyFont="1" applyBorder="1"/>
    <xf numFmtId="164" fontId="3" fillId="2" borderId="38" xfId="0" applyNumberFormat="1" applyFont="1" applyFill="1" applyBorder="1"/>
    <xf numFmtId="0" fontId="3" fillId="3" borderId="38" xfId="0" applyFont="1" applyFill="1" applyBorder="1"/>
    <xf numFmtId="164" fontId="3" fillId="0" borderId="39" xfId="0" applyNumberFormat="1" applyFont="1" applyBorder="1"/>
    <xf numFmtId="164" fontId="3" fillId="0" borderId="34" xfId="0" applyNumberFormat="1" applyFont="1" applyBorder="1"/>
    <xf numFmtId="0" fontId="1" fillId="0" borderId="45" xfId="0" applyFont="1" applyBorder="1"/>
    <xf numFmtId="164" fontId="1" fillId="2" borderId="46" xfId="0" applyNumberFormat="1" applyFont="1" applyFill="1" applyBorder="1"/>
    <xf numFmtId="43" fontId="1" fillId="0" borderId="47" xfId="0" applyNumberFormat="1" applyFont="1" applyBorder="1"/>
    <xf numFmtId="0" fontId="1" fillId="0" borderId="48" xfId="0" applyFont="1" applyBorder="1"/>
    <xf numFmtId="164" fontId="1" fillId="2" borderId="49" xfId="0" applyNumberFormat="1" applyFont="1" applyFill="1" applyBorder="1"/>
    <xf numFmtId="43" fontId="1" fillId="3" borderId="50" xfId="0" applyNumberFormat="1" applyFont="1" applyFill="1" applyBorder="1"/>
    <xf numFmtId="9" fontId="1" fillId="0" borderId="7" xfId="0" applyNumberFormat="1" applyFont="1" applyBorder="1"/>
    <xf numFmtId="165" fontId="1" fillId="0" borderId="51" xfId="0" applyNumberFormat="1" applyFont="1" applyBorder="1"/>
    <xf numFmtId="0" fontId="4" fillId="0" borderId="48" xfId="0" applyFont="1" applyBorder="1"/>
    <xf numFmtId="43" fontId="1" fillId="3" borderId="52" xfId="0" applyNumberFormat="1" applyFont="1" applyFill="1" applyBorder="1"/>
    <xf numFmtId="165" fontId="1" fillId="0" borderId="53" xfId="0" applyNumberFormat="1" applyFont="1" applyBorder="1"/>
    <xf numFmtId="0" fontId="3" fillId="0" borderId="54" xfId="0" applyFont="1" applyBorder="1"/>
    <xf numFmtId="0" fontId="3" fillId="0" borderId="25" xfId="0" applyFont="1" applyBorder="1"/>
    <xf numFmtId="164" fontId="3" fillId="2" borderId="55" xfId="0" applyNumberFormat="1" applyFont="1" applyFill="1" applyBorder="1"/>
    <xf numFmtId="9" fontId="3" fillId="0" borderId="41" xfId="0" applyNumberFormat="1" applyFont="1" applyBorder="1"/>
    <xf numFmtId="44" fontId="1" fillId="3" borderId="1" xfId="0" applyNumberFormat="1" applyFont="1" applyFill="1" applyBorder="1"/>
    <xf numFmtId="164" fontId="1" fillId="0" borderId="0" xfId="0" applyNumberFormat="1" applyFont="1"/>
    <xf numFmtId="0" fontId="3" fillId="0" borderId="56" xfId="0" applyFont="1" applyBorder="1"/>
    <xf numFmtId="0" fontId="3" fillId="0" borderId="37" xfId="0" applyFont="1" applyBorder="1"/>
    <xf numFmtId="164" fontId="3" fillId="2" borderId="57" xfId="0" applyNumberFormat="1" applyFont="1" applyFill="1" applyBorder="1"/>
    <xf numFmtId="0" fontId="3" fillId="3" borderId="57" xfId="0" applyFont="1" applyFill="1" applyBorder="1"/>
    <xf numFmtId="164" fontId="3" fillId="0" borderId="37" xfId="0" applyNumberFormat="1" applyFont="1" applyBorder="1"/>
    <xf numFmtId="164" fontId="3" fillId="0" borderId="58" xfId="0" applyNumberFormat="1" applyFont="1" applyBorder="1"/>
    <xf numFmtId="0" fontId="1" fillId="0" borderId="59" xfId="0" applyFont="1" applyBorder="1"/>
    <xf numFmtId="0" fontId="1" fillId="0" borderId="6" xfId="0" applyFont="1" applyBorder="1"/>
    <xf numFmtId="4" fontId="1" fillId="0" borderId="3" xfId="0" applyNumberFormat="1" applyFont="1" applyBorder="1"/>
    <xf numFmtId="0" fontId="4" fillId="0" borderId="59" xfId="0" applyFont="1" applyBorder="1"/>
    <xf numFmtId="0" fontId="1" fillId="0" borderId="21" xfId="0" applyFont="1" applyBorder="1"/>
    <xf numFmtId="4" fontId="5" fillId="0" borderId="0" xfId="0" applyNumberFormat="1" applyFont="1"/>
    <xf numFmtId="0" fontId="1" fillId="7" borderId="59" xfId="0" applyFont="1" applyFill="1" applyBorder="1"/>
    <xf numFmtId="9" fontId="1" fillId="0" borderId="2" xfId="0" applyNumberFormat="1" applyFont="1" applyBorder="1"/>
    <xf numFmtId="4" fontId="1" fillId="0" borderId="2" xfId="0" applyNumberFormat="1" applyFont="1" applyBorder="1"/>
    <xf numFmtId="0" fontId="1" fillId="0" borderId="60" xfId="0" applyFont="1" applyBorder="1"/>
    <xf numFmtId="0" fontId="4" fillId="0" borderId="61" xfId="0" applyFont="1" applyBorder="1"/>
    <xf numFmtId="0" fontId="1" fillId="0" borderId="62" xfId="0" applyFont="1" applyBorder="1"/>
    <xf numFmtId="0" fontId="4" fillId="0" borderId="32" xfId="0" applyFont="1" applyBorder="1"/>
    <xf numFmtId="0" fontId="1" fillId="0" borderId="61" xfId="0" applyFont="1" applyBorder="1"/>
    <xf numFmtId="0" fontId="6" fillId="0" borderId="18" xfId="0" applyFont="1" applyBorder="1"/>
    <xf numFmtId="164" fontId="1" fillId="2" borderId="63" xfId="0" applyNumberFormat="1" applyFont="1" applyFill="1" applyBorder="1"/>
    <xf numFmtId="43" fontId="1" fillId="3" borderId="63" xfId="0" applyNumberFormat="1" applyFont="1" applyFill="1" applyBorder="1"/>
    <xf numFmtId="0" fontId="3" fillId="0" borderId="35" xfId="0" applyFont="1" applyBorder="1"/>
    <xf numFmtId="0" fontId="3" fillId="0" borderId="64" xfId="0" applyFont="1" applyBorder="1"/>
    <xf numFmtId="164" fontId="3" fillId="2" borderId="42" xfId="0" applyNumberFormat="1" applyFont="1" applyFill="1" applyBorder="1"/>
    <xf numFmtId="44" fontId="3" fillId="0" borderId="0" xfId="0" applyNumberFormat="1" applyFont="1"/>
    <xf numFmtId="0" fontId="1" fillId="0" borderId="32" xfId="0" applyFont="1" applyBorder="1"/>
    <xf numFmtId="0" fontId="5" fillId="2" borderId="1" xfId="0" applyFont="1" applyFill="1" applyBorder="1"/>
    <xf numFmtId="164" fontId="3" fillId="0" borderId="32" xfId="0" applyNumberFormat="1" applyFont="1" applyBorder="1"/>
    <xf numFmtId="0" fontId="7" fillId="0" borderId="0" xfId="0" applyFont="1"/>
    <xf numFmtId="43" fontId="1" fillId="0" borderId="0" xfId="0" applyNumberFormat="1" applyFont="1"/>
    <xf numFmtId="0" fontId="1" fillId="8" borderId="1" xfId="0" applyFont="1" applyFill="1" applyBorder="1"/>
    <xf numFmtId="0" fontId="1" fillId="0" borderId="4" xfId="0" applyFont="1" applyBorder="1" applyAlignment="1">
      <alignment horizontal="center"/>
    </xf>
    <xf numFmtId="0" fontId="2" fillId="0" borderId="5" xfId="0" applyFont="1" applyBorder="1"/>
    <xf numFmtId="0" fontId="2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?>
<Relationships xmlns="http://schemas.openxmlformats.org/package/2006/relationships"><Relationship Id="rId8" Type="http://schemas.openxmlformats.org/officeDocument/2006/relationships/sharedStrings" Target="sharedStrings.xml" /><Relationship Id="rId7" Type="http://schemas.openxmlformats.org/officeDocument/2006/relationships/styles" Target="styles.xml" /><Relationship Id="rId1" Type="http://schemas.openxmlformats.org/officeDocument/2006/relationships/worksheet" Target="worksheets/sheet1.xml" /><Relationship Id="rId6" Type="http://schemas.openxmlformats.org/officeDocument/2006/relationships/theme" Target="theme/theme1.xml" /><Relationship Id="rId5" Type="http://customschemas.google.com/relationships/workbookmetadata" Target="metadata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C1003"/>
  <sheetViews>
    <sheetView tabSelected="1" workbookViewId="0">
      <pane xSplit="2" ySplit="3" topLeftCell="C47" activePane="bottomRight" state="frozen"/>
      <selection pane="topRight" activeCell="C1" sqref="C1"/>
      <selection pane="bottomLeft" activeCell="A4" sqref="A4"/>
      <selection pane="bottomRight" activeCell="E71" sqref="E71"/>
    </sheetView>
  </sheetViews>
  <sheetFormatPr defaultColWidth="12.6640625" defaultRowHeight="15.05" customHeight="1" x14ac:dyDescent="0.25"/>
  <cols>
    <col min="1" max="1" width="3.109375" customWidth="1"/>
    <col min="2" max="2" width="27.44140625" customWidth="1"/>
    <col min="3" max="4" width="10.109375" customWidth="1"/>
    <col min="5" max="5" width="17.21875" customWidth="1"/>
    <col min="6" max="6" width="12.33203125" customWidth="1"/>
    <col min="7" max="7" width="11.21875" customWidth="1"/>
    <col min="8" max="12" width="10.109375" customWidth="1"/>
    <col min="13" max="13" width="12.21875" customWidth="1"/>
    <col min="14" max="17" width="10.109375" customWidth="1"/>
    <col min="18" max="29" width="7.109375" customWidth="1"/>
  </cols>
  <sheetData xmlns="http://schemas.openxmlformats.org/spreadsheetml/2006/main" xmlns:ns1="http://schemas.microsoft.com/office/spreadsheetml/2009/9/ac">
    <row r="1" spans="1:29" ht="12.8" customHeight="1" ns1:dyDescent="0.25">
      <c r="A1" s="1"/>
      <c r="B1" s="2"/>
      <c r="C1" s="2"/>
      <c r="D1" s="3"/>
      <c r="E1" s="2"/>
      <c r="F1" s="2"/>
      <c r="G1" s="4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ht="12.8" customHeight="1" ns1:dyDescent="0.25">
      <c r="A2" s="1"/>
      <c r="B2" s="5" t="s">
        <v>0</v>
      </c>
      <c r="C2" s="6" t="s">
        <v>1</v>
      </c>
      <c r="D2" s="164" t="s">
        <v>2</v>
      </c>
      <c r="E2" s="165"/>
      <c r="F2" s="165"/>
      <c r="G2" s="166"/>
      <c r="H2" s="7" t="s">
        <v>3</v>
      </c>
      <c r="I2" s="8" t="s">
        <v>4</v>
      </c>
      <c r="J2" s="9" t="s">
        <v>5</v>
      </c>
      <c r="K2" s="7" t="s">
        <v>3</v>
      </c>
      <c r="L2" s="7" t="s">
        <v>3</v>
      </c>
      <c r="M2" s="8" t="s">
        <v>4</v>
      </c>
      <c r="N2" s="8" t="s">
        <v>4</v>
      </c>
      <c r="O2" s="9" t="s">
        <v>5</v>
      </c>
      <c r="P2" s="9" t="s">
        <v>5</v>
      </c>
      <c r="Q2" s="6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2.8" customHeight="1" ns1:dyDescent="0.25">
      <c r="A3" s="1"/>
      <c r="B3" s="10"/>
      <c r="C3" s="6"/>
      <c r="D3" s="11" t="s">
        <v>6</v>
      </c>
      <c r="E3" s="6" t="s">
        <v>7</v>
      </c>
      <c r="F3" s="6" t="s">
        <v>8</v>
      </c>
      <c r="G3" s="12" t="s">
        <v>9</v>
      </c>
      <c r="H3" s="6" t="s">
        <v>9</v>
      </c>
      <c r="I3" s="6" t="s">
        <v>9</v>
      </c>
      <c r="J3" s="6" t="s">
        <v>9</v>
      </c>
      <c r="K3" s="6" t="s">
        <v>6</v>
      </c>
      <c r="L3" s="6" t="s">
        <v>10</v>
      </c>
      <c r="M3" s="6" t="s">
        <v>6</v>
      </c>
      <c r="N3" s="6" t="s">
        <v>10</v>
      </c>
      <c r="O3" s="6" t="s">
        <v>6</v>
      </c>
      <c r="P3" s="6" t="s">
        <v>10</v>
      </c>
      <c r="Q3" s="6" t="s">
        <v>11</v>
      </c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12.8" customHeight="1" ns1:dyDescent="0.25">
      <c r="A4" s="13"/>
      <c r="B4" s="14" t="s">
        <v>12</v>
      </c>
      <c r="C4" s="15"/>
      <c r="D4" s="16"/>
      <c r="E4" s="15"/>
      <c r="F4" s="15"/>
      <c r="G4" s="17"/>
      <c r="H4" s="15"/>
      <c r="I4" s="15"/>
      <c r="J4" s="15"/>
      <c r="K4" s="15"/>
      <c r="L4" s="15"/>
      <c r="M4" s="15"/>
      <c r="N4" s="15"/>
      <c r="O4" s="15"/>
      <c r="P4" s="15"/>
      <c r="Q4" s="18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</row>
    <row r="5" spans="1:29" ht="12.8" customHeight="1" ns1:dyDescent="0.25">
      <c r="A5" s="1">
        <v>1</v>
      </c>
      <c r="B5" s="20" t="inlineStr">
        <is>
          <t>Adriano Rodallega</t>
        </is>
      </c>
      <c r="C5" s="21">
        <v>18</v>
      </c>
      <c r="D5" s="22">
        <f t="shared" ref="D5:D25" si="0">Q5</f>
        <v>0</v>
      </c>
      <c r="E5" s="23">
        <f t="shared" ref="E5:E25" si="1">IF(D5&gt;40,(D5-40)*(C5*1.5)+(C5*40),D5*C5)</f>
        <v>0</v>
      </c>
      <c r="F5" s="23">
        <f t="shared" ref="F5:F25" si="2">IF(D5&gt;40,(D5-40)*(C5*0.5),0)</f>
        <v>0</v>
      </c>
      <c r="G5" s="24">
        <v>0</v>
      </c>
      <c r="H5" s="23">
        <v>0</v>
      </c>
      <c r="I5" s="23">
        <v>0</v>
      </c>
      <c r="J5" s="23">
        <v>0</v>
      </c>
      <c r="K5" s="25">
        <v>28.25</v>
      </c>
      <c r="L5" s="26">
        <f t="shared" ref="L5:L13" si="4">IFERROR(K5/Q5,0)</f>
        <v>0</v>
      </c>
      <c r="M5" s="27">
        <v>0</v>
      </c>
      <c r="N5" s="26">
        <f t="shared" ref="N5:N25" si="5">IFERROR(M5/Q5,0)</f>
        <v>0</v>
      </c>
      <c r="O5" s="28">
        <v>0</v>
      </c>
      <c r="P5" s="26">
        <f t="shared" ref="P5:P25" si="6">IFERROR(O5/Q5,0)</f>
        <v>0</v>
      </c>
      <c r="Q5" s="29">
        <f t="shared" ref="Q5:Q25" si="7">K5+M5+O5</f>
        <v>0</v>
      </c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14.4" ns1:dyDescent="0.25">
      <c r="A6" s="1">
        <f t="shared" ref="A6:A8" si="8">1+A5</f>
        <v>2</v>
      </c>
      <c r="B6" s="30" t="inlineStr">
        <is>
          <t>Ang F Sherpa</t>
        </is>
      </c>
      <c r="C6" s="31">
        <v>16</v>
      </c>
      <c r="D6" s="32">
        <f t="shared" si="0"/>
        <v>0</v>
      </c>
      <c r="E6" s="33">
        <f t="shared" si="1"/>
        <v>0</v>
      </c>
      <c r="F6" s="34">
        <f t="shared" si="2"/>
        <v>0</v>
      </c>
      <c r="G6" s="35">
        <v>0</v>
      </c>
      <c r="H6" s="34">
        <v>0</v>
      </c>
      <c r="I6" s="34">
        <v>0</v>
      </c>
      <c r="J6" s="34">
        <v>0</v>
      </c>
      <c r="K6" s="36">
        <v>0</v>
      </c>
      <c r="L6" s="37">
        <f t="shared" si="4"/>
        <v>0</v>
      </c>
      <c r="M6" s="38">
        <v>0</v>
      </c>
      <c r="N6" s="37">
        <f t="shared" si="5"/>
        <v>0</v>
      </c>
      <c r="O6" s="39">
        <v>0</v>
      </c>
      <c r="P6" s="37">
        <f t="shared" si="6"/>
        <v>0</v>
      </c>
      <c r="Q6" s="40">
        <f t="shared" si="7"/>
        <v>0</v>
      </c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 spans="1:29" ht="12.8" customHeight="1" ns1:dyDescent="0.25">
      <c r="A7" s="1">
        <f t="shared" si="8"/>
        <v>3</v>
      </c>
      <c r="B7" s="41" t="inlineStr">
        <is>
          <t>Boris Brin</t>
        </is>
      </c>
      <c r="C7" s="31">
        <v>20</v>
      </c>
      <c r="D7" s="32">
        <f t="shared" si="0"/>
        <v>0</v>
      </c>
      <c r="E7" s="33">
        <f t="shared" si="1"/>
        <v>0</v>
      </c>
      <c r="F7" s="34">
        <f t="shared" si="2"/>
        <v>0</v>
      </c>
      <c r="G7" s="35">
        <v>0</v>
      </c>
      <c r="H7" s="34">
        <v>0</v>
      </c>
      <c r="I7" s="34">
        <v>0</v>
      </c>
      <c r="J7" s="34">
        <v>0</v>
      </c>
      <c r="K7" s="36">
        <v>0</v>
      </c>
      <c r="L7" s="37">
        <f t="shared" si="4"/>
        <v>0</v>
      </c>
      <c r="M7" s="38">
        <v>0</v>
      </c>
      <c r="N7" s="37">
        <f t="shared" si="5"/>
        <v>0</v>
      </c>
      <c r="O7" s="39">
        <v>0</v>
      </c>
      <c r="P7" s="37">
        <f t="shared" si="6"/>
        <v>0</v>
      </c>
      <c r="Q7" s="40">
        <f t="shared" si="7"/>
        <v>0</v>
      </c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 spans="1:29" ht="12.8" customHeight="1" ns1:dyDescent="0.25">
      <c r="A8" s="1">
        <f t="shared" si="8"/>
        <v>4</v>
      </c>
      <c r="B8" s="30" t="inlineStr">
        <is>
          <t>Christian F Baena</t>
        </is>
      </c>
      <c r="C8" s="31">
        <v>19</v>
      </c>
      <c r="D8" s="32">
        <f t="shared" si="0"/>
        <v>0</v>
      </c>
      <c r="E8" s="33">
        <f t="shared" si="1"/>
        <v>0</v>
      </c>
      <c r="F8" s="34">
        <f t="shared" si="2"/>
        <v>0</v>
      </c>
      <c r="G8" s="35">
        <v>0</v>
      </c>
      <c r="H8" s="42">
        <v>0</v>
      </c>
      <c r="I8" s="42">
        <v>0</v>
      </c>
      <c r="J8" s="42">
        <v>0</v>
      </c>
      <c r="K8" s="43">
        <v>0</v>
      </c>
      <c r="L8" s="37">
        <f t="shared" si="4"/>
        <v>0</v>
      </c>
      <c r="M8" s="44">
        <v>0</v>
      </c>
      <c r="N8" s="37">
        <f t="shared" si="5"/>
        <v>0</v>
      </c>
      <c r="O8" s="45">
        <v>0</v>
      </c>
      <c r="P8" s="37">
        <f t="shared" si="6"/>
        <v>0</v>
      </c>
      <c r="Q8" s="40">
        <f t="shared" si="7"/>
        <v>0</v>
      </c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 spans="1:29" ht="12.8" customHeight="1" ns1:dyDescent="0.25">
      <c r="A9" s="1">
        <v>2</v>
      </c>
      <c r="B9" s="41" t="inlineStr">
        <is>
          <t>Christian M Font</t>
        </is>
      </c>
      <c r="C9" s="31">
        <v>19</v>
      </c>
      <c r="D9" s="32">
        <f t="shared" si="0"/>
        <v>0</v>
      </c>
      <c r="E9" s="33">
        <f t="shared" si="1"/>
        <v>0</v>
      </c>
      <c r="F9" s="34">
        <f t="shared" si="2"/>
        <v>0</v>
      </c>
      <c r="G9" s="35">
        <v>82</v>
      </c>
      <c r="H9" s="42">
        <v>82</v>
      </c>
      <c r="I9" s="42">
        <v>0</v>
      </c>
      <c r="J9" s="42">
        <v>0</v>
      </c>
      <c r="K9" s="43">
        <v>26.5</v>
      </c>
      <c r="L9" s="37">
        <f t="shared" si="4"/>
        <v>0</v>
      </c>
      <c r="M9" s="44">
        <v>8</v>
      </c>
      <c r="N9" s="37">
        <f t="shared" si="5"/>
        <v>0</v>
      </c>
      <c r="O9" s="45">
        <v>0</v>
      </c>
      <c r="P9" s="37">
        <f t="shared" si="6"/>
        <v>0</v>
      </c>
      <c r="Q9" s="40">
        <f t="shared" si="7"/>
        <v>0</v>
      </c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 spans="1:29" ht="12.8" customHeight="1" ns1:dyDescent="0.25">
      <c r="A10" s="1">
        <f t="shared" ref="A10:A24" si="9">A9+1</f>
        <v>3</v>
      </c>
      <c r="B10" s="30" t="inlineStr">
        <is>
          <t>Corio Jamal Vinson</t>
        </is>
      </c>
      <c r="C10" s="31">
        <v>18</v>
      </c>
      <c r="D10" s="32">
        <f t="shared" si="0"/>
        <v>0</v>
      </c>
      <c r="E10" s="33">
        <f t="shared" si="1"/>
        <v>0</v>
      </c>
      <c r="F10" s="34">
        <f t="shared" si="2"/>
        <v>0</v>
      </c>
      <c r="G10" s="35">
        <v>0</v>
      </c>
      <c r="H10" s="42">
        <v>0</v>
      </c>
      <c r="I10" s="42">
        <v>0</v>
      </c>
      <c r="J10" s="42">
        <v>0</v>
      </c>
      <c r="K10" s="43">
        <v>0</v>
      </c>
      <c r="L10" s="37">
        <f t="shared" si="4"/>
        <v>0</v>
      </c>
      <c r="M10" s="44">
        <v>0</v>
      </c>
      <c r="N10" s="37">
        <f t="shared" si="5"/>
        <v>0</v>
      </c>
      <c r="O10" s="45">
        <v>0</v>
      </c>
      <c r="P10" s="37">
        <f t="shared" si="6"/>
        <v>0</v>
      </c>
      <c r="Q10" s="40">
        <f t="shared" si="7"/>
        <v>0</v>
      </c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 spans="1:29" ht="12.8" customHeight="1" ns1:dyDescent="0.25">
      <c r="A11" s="1">
        <f t="shared" si="9"/>
        <v>4</v>
      </c>
      <c r="B11" s="41" t="inlineStr">
        <is>
          <t>Daniel Richiez</t>
        </is>
      </c>
      <c r="C11" s="31">
        <v>19</v>
      </c>
      <c r="D11" s="32">
        <f t="shared" si="0"/>
        <v>0</v>
      </c>
      <c r="E11" s="33">
        <f t="shared" si="1"/>
        <v>0</v>
      </c>
      <c r="F11" s="34">
        <f t="shared" si="2"/>
        <v>0</v>
      </c>
      <c r="G11" s="35">
        <v>0</v>
      </c>
      <c r="H11" s="42">
        <v>0</v>
      </c>
      <c r="I11" s="42">
        <v>0</v>
      </c>
      <c r="J11" s="42">
        <v>0</v>
      </c>
      <c r="K11" s="43">
        <v>33</v>
      </c>
      <c r="L11" s="37">
        <f t="shared" si="4"/>
        <v>0</v>
      </c>
      <c r="M11" s="44">
        <v>7</v>
      </c>
      <c r="N11" s="37">
        <f t="shared" si="5"/>
        <v>0</v>
      </c>
      <c r="O11" s="45">
        <v>0</v>
      </c>
      <c r="P11" s="37">
        <f t="shared" si="6"/>
        <v>0</v>
      </c>
      <c r="Q11" s="40">
        <f t="shared" si="7"/>
        <v>0</v>
      </c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 spans="1:29" ht="12.8" customHeight="1" ns1:dyDescent="0.25">
      <c r="A12" s="1">
        <f t="shared" si="9"/>
        <v>5</v>
      </c>
      <c r="B12" s="41" t="inlineStr">
        <is>
          <t>Daniil Eremenkov</t>
        </is>
      </c>
      <c r="C12" s="31">
        <v>19</v>
      </c>
      <c r="D12" s="32">
        <f t="shared" si="0"/>
        <v>0</v>
      </c>
      <c r="E12" s="33">
        <f t="shared" si="1"/>
        <v>0</v>
      </c>
      <c r="F12" s="34">
        <f t="shared" si="2"/>
        <v>0</v>
      </c>
      <c r="G12" s="35">
        <v>0</v>
      </c>
      <c r="H12" s="42">
        <v>0</v>
      </c>
      <c r="I12" s="42">
        <v>0</v>
      </c>
      <c r="J12" s="42">
        <v>0</v>
      </c>
      <c r="K12" s="43">
        <v>0</v>
      </c>
      <c r="L12" s="37">
        <f t="shared" si="4"/>
        <v>0</v>
      </c>
      <c r="M12" s="44">
        <v>0</v>
      </c>
      <c r="N12" s="37">
        <f t="shared" si="5"/>
        <v>0</v>
      </c>
      <c r="O12" s="45">
        <v>0</v>
      </c>
      <c r="P12" s="37">
        <f t="shared" si="6"/>
        <v>0</v>
      </c>
      <c r="Q12" s="40">
        <f t="shared" si="7"/>
        <v>0</v>
      </c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 spans="1:29" ht="12.8" customHeight="1" ns1:dyDescent="0.25">
      <c r="A13" s="1">
        <f t="shared" si="9"/>
        <v>6</v>
      </c>
      <c r="B13" s="30" t="inlineStr">
        <is>
          <t>Danylo Chernysh</t>
        </is>
      </c>
      <c r="C13" s="31">
        <v>18</v>
      </c>
      <c r="D13" s="32">
        <f t="shared" si="0"/>
        <v>0</v>
      </c>
      <c r="E13" s="33">
        <f t="shared" si="1"/>
        <v>0</v>
      </c>
      <c r="F13" s="34">
        <f t="shared" si="2"/>
        <v>0</v>
      </c>
      <c r="G13" s="35">
        <v>0</v>
      </c>
      <c r="H13" s="42">
        <v>0</v>
      </c>
      <c r="I13" s="42">
        <v>0</v>
      </c>
      <c r="J13" s="42">
        <v>0</v>
      </c>
      <c r="K13" s="43">
        <v>27.25</v>
      </c>
      <c r="L13" s="37">
        <f t="shared" si="4"/>
        <v>0</v>
      </c>
      <c r="M13" s="44">
        <v>6</v>
      </c>
      <c r="N13" s="37">
        <f t="shared" si="5"/>
        <v>0</v>
      </c>
      <c r="O13" s="45">
        <v>0</v>
      </c>
      <c r="P13" s="37">
        <f t="shared" si="6"/>
        <v>0</v>
      </c>
      <c r="Q13" s="40">
        <f t="shared" si="7"/>
        <v>0</v>
      </c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 spans="1:29" ht="12.8" customHeight="1" ns1:dyDescent="0.25">
      <c r="A14" s="1">
        <f t="shared" si="9"/>
        <v>7</v>
      </c>
      <c r="B14" s="41" t="inlineStr">
        <is>
          <t>David Torres</t>
        </is>
      </c>
      <c r="C14" s="31">
        <v>18</v>
      </c>
      <c r="D14" s="32">
        <f t="shared" si="0"/>
        <v>0</v>
      </c>
      <c r="E14" s="33">
        <f t="shared" si="1"/>
        <v>0</v>
      </c>
      <c r="F14" s="34">
        <f t="shared" si="2"/>
        <v>0</v>
      </c>
      <c r="G14" s="35">
        <v>0</v>
      </c>
      <c r="H14" s="42">
        <v>0</v>
      </c>
      <c r="I14" s="42">
        <v>0</v>
      </c>
      <c r="J14" s="42">
        <v>0</v>
      </c>
      <c r="K14" s="43">
        <v>23</v>
      </c>
      <c r="L14" s="37">
        <v>0</v>
      </c>
      <c r="M14" s="44">
        <v>13.5</v>
      </c>
      <c r="N14" s="37">
        <f t="shared" si="5"/>
        <v>0</v>
      </c>
      <c r="O14" s="45">
        <v>0</v>
      </c>
      <c r="P14" s="37">
        <f t="shared" si="6"/>
        <v>0</v>
      </c>
      <c r="Q14" s="40">
        <f t="shared" si="7"/>
        <v>0</v>
      </c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 spans="1:29" ht="12.8" customHeight="1" ns1:dyDescent="0.25">
      <c r="A15" s="1">
        <f t="shared" si="9"/>
        <v>8</v>
      </c>
      <c r="B15" s="41" t="inlineStr">
        <is>
          <t>Efrain Gongora</t>
        </is>
      </c>
      <c r="C15" s="31">
        <v>19</v>
      </c>
      <c r="D15" s="32">
        <f t="shared" si="0"/>
        <v>0</v>
      </c>
      <c r="E15" s="33">
        <f t="shared" si="1"/>
        <v>0</v>
      </c>
      <c r="F15" s="34">
        <f t="shared" si="2"/>
        <v>0</v>
      </c>
      <c r="G15" s="35">
        <v>0</v>
      </c>
      <c r="H15" s="42">
        <v>0</v>
      </c>
      <c r="I15" s="42">
        <v>0</v>
      </c>
      <c r="J15" s="42">
        <v>0</v>
      </c>
      <c r="K15" s="43">
        <v>0</v>
      </c>
      <c r="L15" s="37">
        <f t="shared" ref="L15:L25" si="10">IFERROR(K15/Q15,0)</f>
        <v>0</v>
      </c>
      <c r="M15" s="44">
        <v>0</v>
      </c>
      <c r="N15" s="37">
        <f t="shared" si="5"/>
        <v>0</v>
      </c>
      <c r="O15" s="45">
        <v>0</v>
      </c>
      <c r="P15" s="37">
        <f t="shared" si="6"/>
        <v>0</v>
      </c>
      <c r="Q15" s="40">
        <f t="shared" si="7"/>
        <v>0</v>
      </c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 spans="1:29" ht="12.8" customHeight="1" ns1:dyDescent="0.25">
      <c r="A16" s="1">
        <f t="shared" si="9"/>
        <v>9</v>
      </c>
      <c r="B16" s="41" t="inlineStr">
        <is>
          <t>Farukh Baymatov</t>
        </is>
      </c>
      <c r="C16" s="31">
        <v>20</v>
      </c>
      <c r="D16" s="32">
        <f t="shared" si="0"/>
        <v>0</v>
      </c>
      <c r="E16" s="33">
        <f t="shared" si="1"/>
        <v>0</v>
      </c>
      <c r="F16" s="34">
        <f t="shared" si="2"/>
        <v>0</v>
      </c>
      <c r="G16" s="35">
        <v>108.5</v>
      </c>
      <c r="H16" s="42">
        <v>108.5</v>
      </c>
      <c r="I16" s="42">
        <v>0</v>
      </c>
      <c r="J16" s="42">
        <v>0</v>
      </c>
      <c r="K16" s="43">
        <v>26.75</v>
      </c>
      <c r="L16" s="37">
        <f t="shared" si="10"/>
        <v>0</v>
      </c>
      <c r="M16" s="44">
        <v>7</v>
      </c>
      <c r="N16" s="37">
        <f t="shared" si="5"/>
        <v>0</v>
      </c>
      <c r="O16" s="45">
        <v>0</v>
      </c>
      <c r="P16" s="37">
        <f t="shared" si="6"/>
        <v>0</v>
      </c>
      <c r="Q16" s="40">
        <f t="shared" si="7"/>
        <v>0</v>
      </c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 spans="1:29" ht="12.8" customHeight="1" ns1:dyDescent="0.25">
      <c r="A17" s="1">
        <f t="shared" si="9"/>
        <v>10</v>
      </c>
      <c r="B17" s="30" t="inlineStr">
        <is>
          <t>Jimmy K Crawford</t>
        </is>
      </c>
      <c r="C17" s="31">
        <v>17</v>
      </c>
      <c r="D17" s="32">
        <f t="shared" si="0"/>
        <v>0</v>
      </c>
      <c r="E17" s="33">
        <f t="shared" si="1"/>
        <v>0</v>
      </c>
      <c r="F17" s="34">
        <f t="shared" si="2"/>
        <v>0</v>
      </c>
      <c r="G17" s="35">
        <v>0</v>
      </c>
      <c r="H17" s="42">
        <v>0</v>
      </c>
      <c r="I17" s="42">
        <v>0</v>
      </c>
      <c r="J17" s="42">
        <v>0</v>
      </c>
      <c r="K17" s="43">
        <v>18</v>
      </c>
      <c r="L17" s="37">
        <f t="shared" si="10"/>
        <v>0</v>
      </c>
      <c r="M17" s="44">
        <v>14.75</v>
      </c>
      <c r="N17" s="37">
        <f t="shared" si="5"/>
        <v>0</v>
      </c>
      <c r="O17" s="45">
        <v>0</v>
      </c>
      <c r="P17" s="37">
        <f t="shared" si="6"/>
        <v>0</v>
      </c>
      <c r="Q17" s="40">
        <f t="shared" si="7"/>
        <v>0</v>
      </c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 spans="1:29" ht="12.8" customHeight="1" ns1:dyDescent="0.25">
      <c r="A18" s="1">
        <f t="shared" si="9"/>
        <v>11</v>
      </c>
      <c r="B18" s="30" t="inlineStr">
        <is>
          <t>John Velez</t>
        </is>
      </c>
      <c r="C18" s="31">
        <v>20</v>
      </c>
      <c r="D18" s="32">
        <f t="shared" si="0"/>
        <v>0</v>
      </c>
      <c r="E18" s="33">
        <f t="shared" si="1"/>
        <v>0</v>
      </c>
      <c r="F18" s="34">
        <f t="shared" si="2"/>
        <v>0</v>
      </c>
      <c r="G18" s="35">
        <v>0</v>
      </c>
      <c r="H18" s="42">
        <v>0</v>
      </c>
      <c r="I18" s="42">
        <v>0</v>
      </c>
      <c r="J18" s="42">
        <v>0</v>
      </c>
      <c r="K18" s="43">
        <v>6</v>
      </c>
      <c r="L18" s="37">
        <f t="shared" si="10"/>
        <v>0</v>
      </c>
      <c r="M18" s="44">
        <v>0</v>
      </c>
      <c r="N18" s="37">
        <f t="shared" si="5"/>
        <v>0</v>
      </c>
      <c r="O18" s="45">
        <v>0</v>
      </c>
      <c r="P18" s="37">
        <f t="shared" si="6"/>
        <v>0</v>
      </c>
      <c r="Q18" s="40">
        <f t="shared" si="7"/>
        <v>0</v>
      </c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 spans="1:29" ht="12.8" customHeight="1" ns1:dyDescent="0.25">
      <c r="A19" s="1">
        <f t="shared" si="9"/>
        <v>12</v>
      </c>
      <c r="B19" s="41" t="inlineStr">
        <is>
          <t>Maksim Ivashchanka</t>
        </is>
      </c>
      <c r="C19" s="31">
        <v>19</v>
      </c>
      <c r="D19" s="32">
        <f t="shared" si="0"/>
        <v>0</v>
      </c>
      <c r="E19" s="33">
        <f t="shared" si="1"/>
        <v>0</v>
      </c>
      <c r="F19" s="34">
        <f t="shared" si="2"/>
        <v>0</v>
      </c>
      <c r="G19" s="35">
        <v>21.2</v>
      </c>
      <c r="H19" s="34">
        <v>21.2</v>
      </c>
      <c r="I19" s="34">
        <v>0</v>
      </c>
      <c r="J19" s="34">
        <v>0</v>
      </c>
      <c r="K19" s="36">
        <v>11</v>
      </c>
      <c r="L19" s="37">
        <f t="shared" si="10"/>
        <v>0</v>
      </c>
      <c r="M19" s="38">
        <v>5</v>
      </c>
      <c r="N19" s="37">
        <f t="shared" si="5"/>
        <v>0</v>
      </c>
      <c r="O19" s="39">
        <v>0</v>
      </c>
      <c r="P19" s="37">
        <f t="shared" si="6"/>
        <v>0</v>
      </c>
      <c r="Q19" s="40">
        <f t="shared" si="7"/>
        <v>0</v>
      </c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 spans="1:29" ht="12.8" customHeight="1" ns1:dyDescent="0.25">
      <c r="A20" s="1">
        <f t="shared" si="9"/>
        <v>13</v>
      </c>
      <c r="B20" s="30" t="inlineStr">
        <is>
          <t>Maksym Lelytsia</t>
        </is>
      </c>
      <c r="C20" s="31">
        <v>17</v>
      </c>
      <c r="D20" s="32">
        <f t="shared" si="0"/>
        <v>0</v>
      </c>
      <c r="E20" s="33">
        <f t="shared" si="1"/>
        <v>0</v>
      </c>
      <c r="F20" s="34">
        <f t="shared" si="2"/>
        <v>0</v>
      </c>
      <c r="G20" s="35">
        <v>0</v>
      </c>
      <c r="H20" s="34">
        <v>0</v>
      </c>
      <c r="I20" s="34">
        <v>0</v>
      </c>
      <c r="J20" s="34">
        <v>0</v>
      </c>
      <c r="K20" s="36">
        <v>0</v>
      </c>
      <c r="L20" s="37">
        <f t="shared" si="10"/>
        <v>0</v>
      </c>
      <c r="M20" s="38">
        <v>0</v>
      </c>
      <c r="N20" s="37">
        <f t="shared" si="5"/>
        <v>0</v>
      </c>
      <c r="O20" s="39">
        <v>0</v>
      </c>
      <c r="P20" s="37">
        <f t="shared" si="6"/>
        <v>0</v>
      </c>
      <c r="Q20" s="40">
        <f t="shared" si="7"/>
        <v>0</v>
      </c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 spans="1:29" ht="12.8" customHeight="1" ns1:dyDescent="0.25">
      <c r="A21" s="1">
        <f t="shared" si="9"/>
        <v>14</v>
      </c>
      <c r="B21" s="30" t="inlineStr">
        <is>
          <t>Sandesh Purja</t>
        </is>
      </c>
      <c r="C21" s="31">
        <v>17</v>
      </c>
      <c r="D21" s="32">
        <f t="shared" si="0"/>
        <v>0</v>
      </c>
      <c r="E21" s="33">
        <f t="shared" si="1"/>
        <v>0</v>
      </c>
      <c r="F21" s="34">
        <f t="shared" si="2"/>
        <v>0</v>
      </c>
      <c r="G21" s="35">
        <v>0</v>
      </c>
      <c r="H21" s="34">
        <v>0</v>
      </c>
      <c r="I21" s="34">
        <v>0</v>
      </c>
      <c r="J21" s="34">
        <v>0</v>
      </c>
      <c r="K21" s="36">
        <v>19</v>
      </c>
      <c r="L21" s="37">
        <f t="shared" si="10"/>
        <v>0</v>
      </c>
      <c r="M21" s="38">
        <v>0</v>
      </c>
      <c r="N21" s="37">
        <f t="shared" si="5"/>
        <v>0</v>
      </c>
      <c r="O21" s="39">
        <v>0</v>
      </c>
      <c r="P21" s="37">
        <f t="shared" si="6"/>
        <v>0</v>
      </c>
      <c r="Q21" s="40">
        <f t="shared" si="7"/>
        <v>0</v>
      </c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 spans="1:29" ht="12.8" customHeight="1" ns1:dyDescent="0.25">
      <c r="A22" s="1">
        <f t="shared" si="9"/>
        <v>15</v>
      </c>
      <c r="B22" s="30" t="inlineStr">
        <is>
          <t>Sonam Sherpa</t>
        </is>
      </c>
      <c r="C22" s="31">
        <v>16.5</v>
      </c>
      <c r="D22" s="32">
        <f t="shared" si="0"/>
        <v>0</v>
      </c>
      <c r="E22" s="33">
        <f t="shared" si="1"/>
        <v>0</v>
      </c>
      <c r="F22" s="34">
        <f t="shared" si="2"/>
        <v>0</v>
      </c>
      <c r="G22" s="35">
        <v>0</v>
      </c>
      <c r="H22" s="34">
        <v>0</v>
      </c>
      <c r="I22" s="34">
        <v>0</v>
      </c>
      <c r="J22" s="34">
        <v>0</v>
      </c>
      <c r="K22" s="36">
        <v>0</v>
      </c>
      <c r="L22" s="37">
        <f t="shared" si="10"/>
        <v>0</v>
      </c>
      <c r="M22" s="38">
        <v>0</v>
      </c>
      <c r="N22" s="37">
        <f t="shared" si="5"/>
        <v>0</v>
      </c>
      <c r="O22" s="39">
        <v>0</v>
      </c>
      <c r="P22" s="37">
        <f t="shared" si="6"/>
        <v>0</v>
      </c>
      <c r="Q22" s="40">
        <f t="shared" si="7"/>
        <v>0</v>
      </c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 spans="1:29" ht="12.8" customHeight="1" ns1:dyDescent="0.25">
      <c r="A23" s="1">
        <f t="shared" si="9"/>
        <v>16</v>
      </c>
      <c r="B23" s="30" t="inlineStr">
        <is>
          <t>Surya Hamal</t>
        </is>
      </c>
      <c r="C23" s="31">
        <v>17</v>
      </c>
      <c r="D23" s="32">
        <f t="shared" si="0"/>
        <v>0</v>
      </c>
      <c r="E23" s="33">
        <f t="shared" si="1"/>
        <v>0</v>
      </c>
      <c r="F23" s="34">
        <f t="shared" si="2"/>
        <v>0</v>
      </c>
      <c r="G23" s="35">
        <v>0</v>
      </c>
      <c r="H23" s="34">
        <v>0</v>
      </c>
      <c r="I23" s="34">
        <v>0</v>
      </c>
      <c r="J23" s="34">
        <v>0</v>
      </c>
      <c r="K23" s="36">
        <v>0</v>
      </c>
      <c r="L23" s="37">
        <f t="shared" si="10"/>
        <v>0</v>
      </c>
      <c r="M23" s="38">
        <v>0</v>
      </c>
      <c r="N23" s="37">
        <f t="shared" si="5"/>
        <v>0</v>
      </c>
      <c r="O23" s="39">
        <v>0</v>
      </c>
      <c r="P23" s="37">
        <f t="shared" si="6"/>
        <v>0</v>
      </c>
      <c r="Q23" s="40">
        <f t="shared" si="7"/>
        <v>0</v>
      </c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 spans="1:29" ht="12.8" customHeight="1" ns1:dyDescent="0.25">
      <c r="A24" s="1">
        <f t="shared" si="9"/>
        <v>17</v>
      </c>
      <c r="B24" s="30" t="inlineStr">
        <is>
          <t>Terry R Maynard</t>
        </is>
      </c>
      <c r="C24" s="46">
        <v>18</v>
      </c>
      <c r="D24" s="32">
        <f t="shared" si="0"/>
        <v>0</v>
      </c>
      <c r="E24" s="33">
        <f t="shared" si="1"/>
        <v>0</v>
      </c>
      <c r="F24" s="34">
        <f t="shared" si="2"/>
        <v>0</v>
      </c>
      <c r="G24" s="35">
        <v>0</v>
      </c>
      <c r="H24" s="47">
        <v>0</v>
      </c>
      <c r="I24" s="47">
        <v>0</v>
      </c>
      <c r="J24" s="47">
        <v>0</v>
      </c>
      <c r="K24" s="48">
        <v>0</v>
      </c>
      <c r="L24" s="37">
        <f t="shared" si="10"/>
        <v>0</v>
      </c>
      <c r="M24" s="49">
        <v>0</v>
      </c>
      <c r="N24" s="37">
        <f t="shared" si="5"/>
        <v>0</v>
      </c>
      <c r="O24" s="50">
        <v>0</v>
      </c>
      <c r="P24" s="37">
        <f t="shared" si="6"/>
        <v>0</v>
      </c>
      <c r="Q24" s="40">
        <f t="shared" si="7"/>
        <v>0</v>
      </c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 spans="1:29" ht="12.8" customHeight="1" ns1:dyDescent="0.25">
      <c r="A25" s="1">
        <f>1+A24</f>
        <v>18</v>
      </c>
      <c r="B25" s="51" t="inlineStr">
        <is>
          <t/>
        </is>
      </c>
      <c r="C25" s="52">
        <v>0</v>
      </c>
      <c r="D25" s="53">
        <f t="shared" si="0"/>
        <v>0</v>
      </c>
      <c r="E25" s="54">
        <f t="shared" si="1"/>
        <v>0</v>
      </c>
      <c r="F25" s="54">
        <f t="shared" si="2"/>
        <v>0</v>
      </c>
      <c r="G25" s="55">
        <v>0</v>
      </c>
      <c r="H25" s="54">
        <v>0</v>
      </c>
      <c r="I25" s="54">
        <v>0</v>
      </c>
      <c r="J25" s="54">
        <v>0</v>
      </c>
      <c r="K25" s="56">
        <v>0</v>
      </c>
      <c r="L25" s="57">
        <f t="shared" si="10"/>
        <v>0</v>
      </c>
      <c r="M25" s="58">
        <v>0</v>
      </c>
      <c r="N25" s="57">
        <f t="shared" si="5"/>
        <v>0</v>
      </c>
      <c r="O25" s="59">
        <v>0</v>
      </c>
      <c r="P25" s="57">
        <f t="shared" si="6"/>
        <v>0</v>
      </c>
      <c r="Q25" s="60">
        <f t="shared" si="7"/>
        <v>0</v>
      </c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 spans="1:29" ht="12.8" customHeight="1" ns1:dyDescent="0.25">
      <c r="A26" s="13"/>
      <c r="B26" s="61" t="s">
        <v>33</v>
      </c>
      <c r="C26" s="62"/>
      <c r="D26" s="63">
        <f t="shared" ref="D26:K26" si="11">SUM(D5:D25)</f>
        <v>0</v>
      </c>
      <c r="E26" s="64">
        <f t="shared" si="11"/>
        <v>0</v>
      </c>
      <c r="F26" s="64">
        <f t="shared" si="11"/>
        <v>0</v>
      </c>
      <c r="G26" s="65">
        <f t="shared" si="11"/>
        <v>0</v>
      </c>
      <c r="H26" s="64">
        <f t="shared" si="11"/>
        <v>0</v>
      </c>
      <c r="I26" s="64">
        <f t="shared" si="11"/>
        <v>0</v>
      </c>
      <c r="J26" s="64">
        <f t="shared" si="11"/>
        <v>0</v>
      </c>
      <c r="K26" s="66">
        <f t="shared" si="11"/>
        <v>0</v>
      </c>
      <c r="L26" s="67" t="e">
        <f>K26/Q26</f>
        <v>#DIV/0!</v>
      </c>
      <c r="M26" s="66">
        <f>SUM(M5:M25)</f>
        <v>0</v>
      </c>
      <c r="N26" s="67" t="e">
        <f>M26/Q26</f>
        <v>#DIV/0!</v>
      </c>
      <c r="O26" s="66">
        <f>SUM(O5:O25)</f>
        <v>0</v>
      </c>
      <c r="P26" s="68" t="e">
        <f>O26/D26</f>
        <v>#DIV/0!</v>
      </c>
      <c r="Q26" s="69">
        <f>SUM(Q5:Q25)</f>
        <v>0</v>
      </c>
      <c r="R26" s="70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</row>
    <row r="27" spans="1:29" ht="12.8" customHeight="1" ns1:dyDescent="0.25">
      <c r="A27" s="1"/>
      <c r="B27" s="71" t="s">
        <v>34</v>
      </c>
      <c r="C27" s="2"/>
      <c r="D27" s="72"/>
      <c r="E27" s="2"/>
      <c r="F27" s="2"/>
      <c r="G27" s="4"/>
      <c r="H27" s="2"/>
      <c r="I27" s="2"/>
      <c r="J27" s="2"/>
      <c r="K27" s="73"/>
      <c r="L27" s="73"/>
      <c r="M27" s="73"/>
      <c r="N27" s="73"/>
      <c r="O27" s="73"/>
      <c r="P27" s="73"/>
      <c r="Q27" s="73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 spans="1:29" ht="12.8" customHeight="1" ns1:dyDescent="0.25">
      <c r="A28" s="1"/>
      <c r="B28" s="6" t="s">
        <v>35</v>
      </c>
      <c r="C28" s="2"/>
      <c r="D28" s="72"/>
      <c r="E28" s="74">
        <f>E26+G26</f>
        <v>0</v>
      </c>
      <c r="F28" s="74"/>
      <c r="G28" s="75">
        <f>SUM(H28:J28)/1.18</f>
        <v>0</v>
      </c>
      <c r="H28" s="76">
        <f t="shared" ref="H28:J28" si="12">H26*1.18</f>
        <v>0</v>
      </c>
      <c r="I28" s="76">
        <f t="shared" si="12"/>
        <v>0</v>
      </c>
      <c r="J28" s="76">
        <f t="shared" si="12"/>
        <v>0</v>
      </c>
      <c r="K28" s="77" t="e">
        <f>E26*L26*1.18</f>
        <v>#DIV/0!</v>
      </c>
      <c r="L28" s="78"/>
      <c r="M28" s="79" t="e">
        <f>E26*N26*1.18</f>
        <v>#DIV/0!</v>
      </c>
      <c r="N28" s="80"/>
      <c r="O28" s="79" t="e">
        <f>E26*P26*1.18</f>
        <v>#DIV/0!</v>
      </c>
      <c r="P28" s="80"/>
      <c r="Q28" s="81" t="e">
        <f>(K28+M28+O28)/1.18</f>
        <v>#DIV/0!</v>
      </c>
      <c r="R28" s="8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 spans="1:29" ht="12.8" customHeight="1" ns1:dyDescent="0.25">
      <c r="A29" s="1"/>
      <c r="B29" s="83"/>
      <c r="C29" s="2"/>
      <c r="D29" s="72"/>
      <c r="E29" s="74" t="e">
        <f>G28+Q28</f>
        <v>#DIV/0!</v>
      </c>
      <c r="F29" s="2"/>
      <c r="G29" s="4"/>
      <c r="H29" s="82"/>
      <c r="I29" s="82"/>
      <c r="J29" s="82"/>
      <c r="K29" s="84"/>
      <c r="L29" s="85"/>
      <c r="M29" s="84"/>
      <c r="N29" s="85"/>
      <c r="O29" s="84"/>
      <c r="P29" s="85"/>
      <c r="Q29" s="84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 spans="1:29" ht="12.8" customHeight="1" ns1:dyDescent="0.25">
      <c r="A30" s="1"/>
      <c r="B30" s="83"/>
      <c r="C30" s="2"/>
      <c r="D30" s="72"/>
      <c r="E30" s="2"/>
      <c r="F30" s="2"/>
      <c r="G30" s="4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 spans="1:29" ht="12.8" customHeight="1" ns1:dyDescent="0.25">
      <c r="A31" s="1"/>
      <c r="B31" s="2"/>
      <c r="C31" s="2"/>
      <c r="D31" s="72"/>
      <c r="E31" s="2"/>
      <c r="F31" s="2"/>
      <c r="G31" s="4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 spans="1:29" ht="12.8" customHeight="1" ns1:dyDescent="0.25">
      <c r="A32" s="13"/>
      <c r="B32" s="86" t="s">
        <v>36</v>
      </c>
      <c r="C32" s="87"/>
      <c r="D32" s="88"/>
      <c r="E32" s="89"/>
      <c r="F32" s="89"/>
      <c r="G32" s="90"/>
      <c r="H32" s="89"/>
      <c r="I32" s="89"/>
      <c r="J32" s="89"/>
      <c r="K32" s="89"/>
      <c r="L32" s="89"/>
      <c r="M32" s="89"/>
      <c r="N32" s="89"/>
      <c r="O32" s="89"/>
      <c r="P32" s="89"/>
      <c r="Q32" s="91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</row>
    <row r="33" spans="1:29" ht="12.8" customHeight="1" ns1:dyDescent="0.25">
      <c r="A33" s="1"/>
      <c r="B33" s="20" t="inlineStr">
        <is>
          <t>David E Aubert</t>
        </is>
      </c>
      <c r="C33" s="92">
        <v>17</v>
      </c>
      <c r="D33" s="93">
        <f t="shared" ref="D33:D39" si="13">Q33</f>
        <v>0</v>
      </c>
      <c r="E33" s="23">
        <f t="shared" ref="E33:E39" si="14">IF(D33&gt;40,(D33-40)*(C33*1.5)+(C33*40),D33*C33)</f>
        <v>0</v>
      </c>
      <c r="F33" s="94">
        <f t="shared" ref="F33:F39" si="15">IF(D33&gt;40,(D33-40)*(C33*0.5),0)</f>
        <v>0</v>
      </c>
      <c r="G33" s="24">
        <v>0</v>
      </c>
      <c r="H33" s="23">
        <v>0</v>
      </c>
      <c r="I33" s="23">
        <v>0</v>
      </c>
      <c r="J33" s="23">
        <v>0</v>
      </c>
      <c r="K33" s="28">
        <v>22</v>
      </c>
      <c r="L33" s="26">
        <f t="shared" ref="L33:L40" si="17">IFERROR(K33/Q33,0)</f>
        <v>0</v>
      </c>
      <c r="M33" s="28">
        <v>10.5</v>
      </c>
      <c r="N33" s="26">
        <f t="shared" ref="N33:N40" si="18">IFERROR(M33/Q33,0)</f>
        <v>0</v>
      </c>
      <c r="O33" s="28">
        <v>0</v>
      </c>
      <c r="P33" s="26">
        <f t="shared" ref="P33:P40" si="19">IFERROR(O33/Q33,0)</f>
        <v>0</v>
      </c>
      <c r="Q33" s="29">
        <f t="shared" ref="Q33:Q39" si="20">K33+M33+O33</f>
        <v>0</v>
      </c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spans="1:29" ht="14.4" ns1:dyDescent="0.25">
      <c r="A34" s="1">
        <v>1</v>
      </c>
      <c r="B34" s="95" t="inlineStr">
        <is>
          <t>Mamadou Yamar Diop</t>
        </is>
      </c>
      <c r="C34" s="96">
        <v>18</v>
      </c>
      <c r="D34" s="32">
        <f t="shared" si="13"/>
        <v>0</v>
      </c>
      <c r="E34" s="34">
        <f t="shared" si="14"/>
        <v>0</v>
      </c>
      <c r="F34" s="97">
        <f t="shared" si="15"/>
        <v>0</v>
      </c>
      <c r="G34" s="35">
        <v>0</v>
      </c>
      <c r="H34" s="34">
        <v>0</v>
      </c>
      <c r="I34" s="34">
        <v>0</v>
      </c>
      <c r="J34" s="34">
        <v>0</v>
      </c>
      <c r="K34" s="39">
        <v>0</v>
      </c>
      <c r="L34" s="37">
        <f t="shared" si="17"/>
        <v>0</v>
      </c>
      <c r="M34" s="39">
        <v>0</v>
      </c>
      <c r="N34" s="37">
        <f t="shared" si="18"/>
        <v>0</v>
      </c>
      <c r="O34" s="39">
        <v>0</v>
      </c>
      <c r="P34" s="37">
        <f t="shared" si="19"/>
        <v>0</v>
      </c>
      <c r="Q34" s="40">
        <f t="shared" si="20"/>
        <v>0</v>
      </c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 spans="1:29" ht="12.8" customHeight="1" ns1:dyDescent="0.25">
      <c r="A35" s="1">
        <v>2</v>
      </c>
      <c r="B35" s="30" t="inlineStr">
        <is>
          <t>Mario Gomez -2</t>
        </is>
      </c>
      <c r="C35" s="96">
        <v>15</v>
      </c>
      <c r="D35" s="32">
        <f t="shared" si="13"/>
        <v>0</v>
      </c>
      <c r="E35" s="34">
        <f t="shared" si="14"/>
        <v>0</v>
      </c>
      <c r="F35" s="97">
        <f t="shared" si="15"/>
        <v>0</v>
      </c>
      <c r="G35" s="35">
        <v>0</v>
      </c>
      <c r="H35" s="34">
        <v>0</v>
      </c>
      <c r="I35" s="34">
        <v>0</v>
      </c>
      <c r="J35" s="34">
        <v>0</v>
      </c>
      <c r="K35" s="39">
        <v>0</v>
      </c>
      <c r="L35" s="37">
        <f t="shared" si="17"/>
        <v>0</v>
      </c>
      <c r="M35" s="39">
        <v>0</v>
      </c>
      <c r="N35" s="37">
        <f t="shared" si="18"/>
        <v>0</v>
      </c>
      <c r="O35" s="39">
        <v>0</v>
      </c>
      <c r="P35" s="37">
        <f t="shared" si="19"/>
        <v>0</v>
      </c>
      <c r="Q35" s="40">
        <f t="shared" si="20"/>
        <v>0</v>
      </c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 spans="1:29" ht="12.8" customHeight="1" ns1:dyDescent="0.25">
      <c r="A36" s="1">
        <f>1+A35</f>
        <v>3</v>
      </c>
      <c r="B36" s="30" t="inlineStr">
        <is>
          <t>Reginald Debson</t>
        </is>
      </c>
      <c r="C36" s="96">
        <v>21</v>
      </c>
      <c r="D36" s="32">
        <f t="shared" si="13"/>
        <v>0</v>
      </c>
      <c r="E36" s="34">
        <f t="shared" si="14"/>
        <v>0</v>
      </c>
      <c r="F36" s="97">
        <f t="shared" si="15"/>
        <v>0</v>
      </c>
      <c r="G36" s="35">
        <v>0</v>
      </c>
      <c r="H36" s="34">
        <v>0</v>
      </c>
      <c r="I36" s="34">
        <v>0</v>
      </c>
      <c r="J36" s="34">
        <v>0</v>
      </c>
      <c r="K36" s="39">
        <v>0</v>
      </c>
      <c r="L36" s="37">
        <f t="shared" si="17"/>
        <v>0</v>
      </c>
      <c r="M36" s="39">
        <v>0</v>
      </c>
      <c r="N36" s="37">
        <f t="shared" si="18"/>
        <v>0</v>
      </c>
      <c r="O36" s="39">
        <v>0</v>
      </c>
      <c r="P36" s="37">
        <f t="shared" si="19"/>
        <v>0</v>
      </c>
      <c r="Q36" s="40">
        <f t="shared" si="20"/>
        <v>0</v>
      </c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 spans="1:29" ht="12.8" customHeight="1" ns1:dyDescent="0.25">
      <c r="A37" s="1">
        <v>3</v>
      </c>
      <c r="B37" s="30" t="inlineStr">
        <is>
          <t>Ron Cohen</t>
        </is>
      </c>
      <c r="C37" s="96">
        <v>16</v>
      </c>
      <c r="D37" s="32">
        <f t="shared" si="13"/>
        <v>0</v>
      </c>
      <c r="E37" s="34">
        <f t="shared" si="14"/>
        <v>0</v>
      </c>
      <c r="F37" s="97">
        <f t="shared" si="15"/>
        <v>0</v>
      </c>
      <c r="G37" s="35">
        <v>0</v>
      </c>
      <c r="H37" s="34">
        <v>0</v>
      </c>
      <c r="I37" s="34">
        <v>0</v>
      </c>
      <c r="J37" s="34">
        <v>0</v>
      </c>
      <c r="K37" s="39">
        <v>0</v>
      </c>
      <c r="L37" s="37">
        <f t="shared" si="17"/>
        <v>0</v>
      </c>
      <c r="M37" s="39">
        <v>0</v>
      </c>
      <c r="N37" s="37">
        <f t="shared" si="18"/>
        <v>0</v>
      </c>
      <c r="O37" s="39">
        <v>0</v>
      </c>
      <c r="P37" s="37">
        <f t="shared" si="19"/>
        <v>0</v>
      </c>
      <c r="Q37" s="40">
        <f t="shared" si="20"/>
        <v>0</v>
      </c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 spans="1:29" ht="12.8" customHeight="1" ns1:dyDescent="0.25">
      <c r="A38" s="1">
        <f>1+A37</f>
        <v>4</v>
      </c>
      <c r="B38" s="30" t="inlineStr">
        <is>
          <t/>
        </is>
      </c>
      <c r="C38" s="96">
        <v>0</v>
      </c>
      <c r="D38" s="32">
        <f t="shared" si="13"/>
        <v>0</v>
      </c>
      <c r="E38" s="34">
        <f t="shared" si="14"/>
        <v>0</v>
      </c>
      <c r="F38" s="97">
        <f t="shared" si="15"/>
        <v>0</v>
      </c>
      <c r="G38" s="35">
        <v>0</v>
      </c>
      <c r="H38" s="34">
        <v>0</v>
      </c>
      <c r="I38" s="34">
        <v>0</v>
      </c>
      <c r="J38" s="34">
        <v>0</v>
      </c>
      <c r="K38" s="39">
        <v>0</v>
      </c>
      <c r="L38" s="37">
        <f t="shared" si="17"/>
        <v>0</v>
      </c>
      <c r="M38" s="39">
        <v>0</v>
      </c>
      <c r="N38" s="37">
        <f t="shared" si="18"/>
        <v>0</v>
      </c>
      <c r="O38" s="39">
        <v>0</v>
      </c>
      <c r="P38" s="37">
        <f t="shared" si="19"/>
        <v>0</v>
      </c>
      <c r="Q38" s="40">
        <f t="shared" si="20"/>
        <v>0</v>
      </c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 spans="1:29" ht="12.8" customHeight="1" ns1:dyDescent="0.25">
      <c r="A39" s="1"/>
      <c r="B39" s="41" t="inlineStr">
        <is>
          <t/>
        </is>
      </c>
      <c r="C39" s="96">
        <v>0</v>
      </c>
      <c r="D39" s="32">
        <f t="shared" si="13"/>
        <v>0</v>
      </c>
      <c r="E39" s="34">
        <f t="shared" si="14"/>
        <v>0</v>
      </c>
      <c r="F39" s="97">
        <f t="shared" si="15"/>
        <v>0</v>
      </c>
      <c r="G39" s="55">
        <v>0</v>
      </c>
      <c r="H39" s="54">
        <v>0</v>
      </c>
      <c r="I39" s="54">
        <v>0</v>
      </c>
      <c r="J39" s="54">
        <v>0</v>
      </c>
      <c r="K39" s="59">
        <v>0</v>
      </c>
      <c r="L39" s="57">
        <f t="shared" si="17"/>
        <v>0</v>
      </c>
      <c r="M39" s="59">
        <v>0</v>
      </c>
      <c r="N39" s="57">
        <f t="shared" si="18"/>
        <v>0</v>
      </c>
      <c r="O39" s="59">
        <v>0</v>
      </c>
      <c r="P39" s="57">
        <f t="shared" si="19"/>
        <v>0</v>
      </c>
      <c r="Q39" s="98">
        <f t="shared" si="20"/>
        <v>0</v>
      </c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 spans="1:29" ht="12.8" customHeight="1" ns1:dyDescent="0.25">
      <c r="A40" s="13"/>
      <c r="B40" s="61" t="s">
        <v>2</v>
      </c>
      <c r="C40" s="62"/>
      <c r="D40" s="63">
        <f t="shared" ref="D40:K40" si="21">SUM(D33:D39)</f>
        <v>0</v>
      </c>
      <c r="E40" s="64">
        <f t="shared" si="21"/>
        <v>0</v>
      </c>
      <c r="F40" s="99">
        <f t="shared" si="21"/>
        <v>0</v>
      </c>
      <c r="G40" s="100">
        <f t="shared" si="21"/>
        <v>0</v>
      </c>
      <c r="H40" s="99">
        <f t="shared" si="21"/>
        <v>0</v>
      </c>
      <c r="I40" s="99">
        <f t="shared" si="21"/>
        <v>0</v>
      </c>
      <c r="J40" s="99">
        <f t="shared" si="21"/>
        <v>0</v>
      </c>
      <c r="K40" s="99">
        <f t="shared" si="21"/>
        <v>0</v>
      </c>
      <c r="L40" s="57">
        <f t="shared" si="17"/>
        <v>0</v>
      </c>
      <c r="M40" s="101">
        <f>SUM(M33:M39)</f>
        <v>0</v>
      </c>
      <c r="N40" s="57">
        <f t="shared" si="18"/>
        <v>0</v>
      </c>
      <c r="O40" s="101">
        <f>SUM(O33:O39)</f>
        <v>0</v>
      </c>
      <c r="P40" s="57">
        <f t="shared" si="19"/>
        <v>0</v>
      </c>
      <c r="Q40" s="102">
        <f>SUM(Q33:Q39)</f>
        <v>0</v>
      </c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</row>
    <row r="41" spans="1:29" ht="12.8" customHeight="1" ns1:dyDescent="0.25">
      <c r="A41" s="1"/>
      <c r="B41" s="103" t="s">
        <v>34</v>
      </c>
      <c r="C41" s="2"/>
      <c r="D41" s="72"/>
      <c r="E41" s="104"/>
      <c r="F41" s="104"/>
      <c r="G41" s="105"/>
      <c r="H41" s="104"/>
      <c r="I41" s="104"/>
      <c r="J41" s="104"/>
      <c r="K41" s="73"/>
      <c r="L41" s="73"/>
      <c r="M41" s="73"/>
      <c r="N41" s="73"/>
      <c r="O41" s="73"/>
      <c r="P41" s="73"/>
      <c r="Q41" s="73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 spans="1:29" ht="12.8" customHeight="1" ns1:dyDescent="0.25">
      <c r="A42" s="1"/>
      <c r="B42" s="6" t="s">
        <v>35</v>
      </c>
      <c r="C42" s="2"/>
      <c r="D42" s="72"/>
      <c r="E42" s="74">
        <f>E40+G40</f>
        <v>0</v>
      </c>
      <c r="F42" s="74"/>
      <c r="G42" s="75">
        <f>SUM(H42:J42)/1.24</f>
        <v>0</v>
      </c>
      <c r="H42" s="76">
        <f t="shared" ref="H42:J42" si="22">H40*1.24</f>
        <v>0</v>
      </c>
      <c r="I42" s="76">
        <f t="shared" si="22"/>
        <v>0</v>
      </c>
      <c r="J42" s="76">
        <f t="shared" si="22"/>
        <v>0</v>
      </c>
      <c r="K42" s="106">
        <f>SUMPRODUCT(E33:E39,L33:L39)*1.24</f>
        <v>0</v>
      </c>
      <c r="L42" s="107"/>
      <c r="M42" s="106">
        <f>SUMPRODUCT(E33:E39,N33:N39)*1.24</f>
        <v>0</v>
      </c>
      <c r="N42" s="107"/>
      <c r="O42" s="106">
        <f>SUMPRODUCT(E33:E39,P33:P39)*1.24</f>
        <v>0</v>
      </c>
      <c r="P42" s="107"/>
      <c r="Q42" s="108">
        <f>(K42+M42+O42)/1.24</f>
        <v>0</v>
      </c>
      <c r="R42" s="74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 spans="1:29" ht="12.8" customHeight="1" ns1:dyDescent="0.25">
      <c r="A43" s="1"/>
      <c r="B43" s="83"/>
      <c r="C43" s="2"/>
      <c r="D43" s="72"/>
      <c r="E43" s="74">
        <f>G42+Q42</f>
        <v>0</v>
      </c>
      <c r="F43" s="104"/>
      <c r="G43" s="105"/>
      <c r="H43" s="104"/>
      <c r="I43" s="104"/>
      <c r="J43" s="104"/>
      <c r="K43" s="107"/>
      <c r="L43" s="107"/>
      <c r="M43" s="107"/>
      <c r="N43" s="107"/>
      <c r="O43" s="107"/>
      <c r="P43" s="107"/>
      <c r="Q43" s="107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 spans="1:29" ht="12.8" customHeight="1" ns1:dyDescent="0.25">
      <c r="A44" s="1"/>
      <c r="B44" s="83"/>
      <c r="C44" s="2"/>
      <c r="D44" s="72"/>
      <c r="E44" s="74"/>
      <c r="F44" s="104"/>
      <c r="G44" s="105"/>
      <c r="H44" s="104"/>
      <c r="I44" s="104"/>
      <c r="J44" s="104"/>
      <c r="K44" s="107"/>
      <c r="L44" s="107"/>
      <c r="M44" s="107"/>
      <c r="N44" s="107"/>
      <c r="O44" s="107"/>
      <c r="P44" s="74"/>
      <c r="Q44" s="107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 spans="1:29" ht="12.8" customHeight="1" ns1:dyDescent="0.25">
      <c r="A45" s="1"/>
      <c r="B45" s="2"/>
      <c r="C45" s="2"/>
      <c r="D45" s="72"/>
      <c r="E45" s="2"/>
      <c r="F45" s="2"/>
      <c r="G45" s="4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 spans="1:29" ht="12.8" customHeight="1" ns1:dyDescent="0.25">
      <c r="A46" s="13"/>
      <c r="B46" s="86" t="s">
        <v>42</v>
      </c>
      <c r="C46" s="109"/>
      <c r="D46" s="110"/>
      <c r="E46" s="109"/>
      <c r="F46" s="109"/>
      <c r="G46" s="111"/>
      <c r="H46" s="109"/>
      <c r="I46" s="109"/>
      <c r="J46" s="109"/>
      <c r="K46" s="112"/>
      <c r="L46" s="112"/>
      <c r="M46" s="112"/>
      <c r="N46" s="112"/>
      <c r="O46" s="112"/>
      <c r="P46" s="112"/>
      <c r="Q46" s="113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</row>
    <row r="47" spans="1:29" ht="12.8" customHeight="1" ns1:dyDescent="0.25">
      <c r="A47" s="1">
        <v>1</v>
      </c>
      <c r="B47" s="114" t="inlineStr">
        <is>
          <t>Ang Sona Sherpa</t>
        </is>
      </c>
      <c r="C47" s="92">
        <v>17</v>
      </c>
      <c r="D47" s="115">
        <f t="shared" ref="D47:D56" si="23">Q47</f>
        <v>0</v>
      </c>
      <c r="E47" s="23">
        <f t="shared" ref="E47:E56" si="24">IF(D47&gt;40,(D47-40)*(C47*1.5)+(C47*40),D47*C47)</f>
        <v>0</v>
      </c>
      <c r="F47" s="116">
        <f t="shared" ref="F47:F56" si="25">IF(D47&gt;40,(D47-40)*(C47*0.5),0)</f>
        <v>0</v>
      </c>
      <c r="G47" s="24">
        <v>0</v>
      </c>
      <c r="H47" s="23">
        <v>0</v>
      </c>
      <c r="I47" s="23">
        <v>0</v>
      </c>
      <c r="J47" s="23">
        <v>0</v>
      </c>
      <c r="K47" s="28">
        <v>32</v>
      </c>
      <c r="L47" s="26">
        <f t="shared" ref="L47:L57" si="27">IFERROR(K47/Q47,0)</f>
        <v>0</v>
      </c>
      <c r="M47" s="28">
        <v>0</v>
      </c>
      <c r="N47" s="26">
        <f t="shared" ref="N47:N57" si="28">IFERROR(M47/Q47,0)</f>
        <v>0</v>
      </c>
      <c r="O47" s="28">
        <v>0</v>
      </c>
      <c r="P47" s="26">
        <f t="shared" ref="P47:P57" si="29">IFERROR(O47/Q47,0)</f>
        <v>0</v>
      </c>
      <c r="Q47" s="29">
        <f t="shared" ref="Q47:Q56" si="30">K47+M47+O47</f>
        <v>0</v>
      </c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 spans="1:29" ht="12.8" customHeight="1" ns1:dyDescent="0.25">
      <c r="A48" s="1">
        <f>A47+1</f>
        <v>2</v>
      </c>
      <c r="B48" s="117" t="inlineStr">
        <is>
          <t>Fnu Rigjin Dawa</t>
        </is>
      </c>
      <c r="C48" s="96">
        <v>17</v>
      </c>
      <c r="D48" s="118">
        <f t="shared" si="23"/>
        <v>0</v>
      </c>
      <c r="E48" s="34">
        <f t="shared" si="24"/>
        <v>0</v>
      </c>
      <c r="F48" s="33">
        <f t="shared" si="25"/>
        <v>0</v>
      </c>
      <c r="G48" s="119">
        <v>0</v>
      </c>
      <c r="H48" s="34">
        <v>0</v>
      </c>
      <c r="I48" s="34">
        <v>0</v>
      </c>
      <c r="J48" s="34">
        <v>0</v>
      </c>
      <c r="K48" s="45">
        <v>40</v>
      </c>
      <c r="L48" s="120">
        <f t="shared" si="27"/>
        <v>0</v>
      </c>
      <c r="M48" s="45">
        <v>0</v>
      </c>
      <c r="N48" s="120">
        <f t="shared" si="28"/>
        <v>0</v>
      </c>
      <c r="O48" s="45">
        <v>0</v>
      </c>
      <c r="P48" s="120">
        <f t="shared" si="29"/>
        <v>0</v>
      </c>
      <c r="Q48" s="121">
        <f t="shared" si="30"/>
        <v>0</v>
      </c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 spans="1:29" ht="12.8" customHeight="1" ns1:dyDescent="0.25">
      <c r="A49" s="1">
        <f t="shared" ref="A49:A56" si="31">1+A48</f>
        <v>3</v>
      </c>
      <c r="B49" s="117" t="inlineStr">
        <is>
          <t>Hishey L Lama</t>
        </is>
      </c>
      <c r="C49" s="96">
        <v>17</v>
      </c>
      <c r="D49" s="118">
        <f t="shared" si="23"/>
        <v>0</v>
      </c>
      <c r="E49" s="34">
        <f t="shared" si="24"/>
        <v>0</v>
      </c>
      <c r="F49" s="33">
        <f t="shared" si="25"/>
        <v>0</v>
      </c>
      <c r="G49" s="119">
        <v>0</v>
      </c>
      <c r="H49" s="34">
        <v>0</v>
      </c>
      <c r="I49" s="34">
        <v>0</v>
      </c>
      <c r="J49" s="34">
        <v>0</v>
      </c>
      <c r="K49" s="45">
        <v>6</v>
      </c>
      <c r="L49" s="120">
        <f t="shared" si="27"/>
        <v>0</v>
      </c>
      <c r="M49" s="45">
        <v>0</v>
      </c>
      <c r="N49" s="120">
        <f t="shared" si="28"/>
        <v>0</v>
      </c>
      <c r="O49" s="45">
        <v>10.5</v>
      </c>
      <c r="P49" s="120">
        <f t="shared" si="29"/>
        <v>0</v>
      </c>
      <c r="Q49" s="121">
        <f t="shared" si="30"/>
        <v>0</v>
      </c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 spans="1:29" ht="12.8" customHeight="1" ns1:dyDescent="0.25">
      <c r="A50" s="1">
        <f t="shared" si="31"/>
        <v>4</v>
      </c>
      <c r="B50" s="122" t="inlineStr">
        <is>
          <t>Kye DeVonte White</t>
        </is>
      </c>
      <c r="C50" s="96">
        <v>19</v>
      </c>
      <c r="D50" s="118">
        <f t="shared" si="23"/>
        <v>0</v>
      </c>
      <c r="E50" s="34">
        <f t="shared" si="24"/>
        <v>0</v>
      </c>
      <c r="F50" s="33">
        <f t="shared" si="25"/>
        <v>0</v>
      </c>
      <c r="G50" s="119">
        <v>0</v>
      </c>
      <c r="H50" s="34">
        <v>0</v>
      </c>
      <c r="I50" s="34">
        <v>0</v>
      </c>
      <c r="J50" s="34">
        <v>0</v>
      </c>
      <c r="K50" s="45">
        <v>15.5</v>
      </c>
      <c r="L50" s="120">
        <f t="shared" si="27"/>
        <v>0</v>
      </c>
      <c r="M50" s="45">
        <v>24.5</v>
      </c>
      <c r="N50" s="120">
        <f t="shared" si="28"/>
        <v>0</v>
      </c>
      <c r="O50" s="45">
        <v>0</v>
      </c>
      <c r="P50" s="120">
        <f t="shared" si="29"/>
        <v>0</v>
      </c>
      <c r="Q50" s="121">
        <f t="shared" si="30"/>
        <v>0</v>
      </c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 spans="1:29" ht="12.8" customHeight="1" ns1:dyDescent="0.25">
      <c r="A51" s="1">
        <f t="shared" si="31"/>
        <v>5</v>
      </c>
      <c r="B51" s="122" t="inlineStr">
        <is>
          <t>Lakpa S Sherpa</t>
        </is>
      </c>
      <c r="C51" s="96">
        <v>18</v>
      </c>
      <c r="D51" s="118">
        <f t="shared" si="23"/>
        <v>0</v>
      </c>
      <c r="E51" s="34">
        <f t="shared" si="24"/>
        <v>0</v>
      </c>
      <c r="F51" s="33">
        <f t="shared" si="25"/>
        <v>0</v>
      </c>
      <c r="G51" s="119">
        <v>0</v>
      </c>
      <c r="H51" s="34">
        <v>0</v>
      </c>
      <c r="I51" s="34">
        <v>0</v>
      </c>
      <c r="J51" s="34">
        <v>0</v>
      </c>
      <c r="K51" s="45">
        <v>26.75</v>
      </c>
      <c r="L51" s="120">
        <f t="shared" si="27"/>
        <v>0</v>
      </c>
      <c r="M51" s="45">
        <v>6</v>
      </c>
      <c r="N51" s="120">
        <f t="shared" si="28"/>
        <v>0</v>
      </c>
      <c r="O51" s="45">
        <v>0</v>
      </c>
      <c r="P51" s="120">
        <f t="shared" si="29"/>
        <v>0</v>
      </c>
      <c r="Q51" s="121">
        <f t="shared" si="30"/>
        <v>0</v>
      </c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 spans="1:29" ht="12.8" customHeight="1" ns1:dyDescent="0.25">
      <c r="A52" s="1">
        <f t="shared" si="31"/>
        <v>6</v>
      </c>
      <c r="B52" s="122" t="inlineStr">
        <is>
          <t>Mario J Gomez</t>
        </is>
      </c>
      <c r="C52" s="96">
        <v>20</v>
      </c>
      <c r="D52" s="118">
        <f t="shared" si="23"/>
        <v>0</v>
      </c>
      <c r="E52" s="34">
        <f t="shared" si="24"/>
        <v>0</v>
      </c>
      <c r="F52" s="33">
        <f t="shared" si="25"/>
        <v>0</v>
      </c>
      <c r="G52" s="119">
        <v>262</v>
      </c>
      <c r="H52" s="34">
        <v>262</v>
      </c>
      <c r="I52" s="34">
        <v>0</v>
      </c>
      <c r="J52" s="34">
        <v>0</v>
      </c>
      <c r="K52" s="45">
        <v>40</v>
      </c>
      <c r="L52" s="120">
        <f t="shared" si="27"/>
        <v>0</v>
      </c>
      <c r="M52" s="45">
        <v>0</v>
      </c>
      <c r="N52" s="120">
        <f t="shared" si="28"/>
        <v>0</v>
      </c>
      <c r="O52" s="45">
        <v>0</v>
      </c>
      <c r="P52" s="120">
        <f t="shared" si="29"/>
        <v>0</v>
      </c>
      <c r="Q52" s="121">
        <f t="shared" si="30"/>
        <v>0</v>
      </c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 spans="1:29" ht="12.8" customHeight="1" ns1:dyDescent="0.25">
      <c r="A53" s="1">
        <f t="shared" si="31"/>
        <v>7</v>
      </c>
      <c r="B53" s="122" t="inlineStr">
        <is>
          <t>Oleksii Danylenko</t>
        </is>
      </c>
      <c r="C53" s="96">
        <v>17</v>
      </c>
      <c r="D53" s="118">
        <f t="shared" si="23"/>
        <v>0</v>
      </c>
      <c r="E53" s="34">
        <f t="shared" si="24"/>
        <v>0</v>
      </c>
      <c r="F53" s="33">
        <f t="shared" si="25"/>
        <v>0</v>
      </c>
      <c r="G53" s="119">
        <v>0</v>
      </c>
      <c r="H53" s="34">
        <v>0</v>
      </c>
      <c r="I53" s="34">
        <v>0</v>
      </c>
      <c r="J53" s="34">
        <v>0</v>
      </c>
      <c r="K53" s="45">
        <v>17.75</v>
      </c>
      <c r="L53" s="120">
        <f t="shared" si="27"/>
        <v>0</v>
      </c>
      <c r="M53" s="45">
        <v>0</v>
      </c>
      <c r="N53" s="120">
        <f t="shared" si="28"/>
        <v>0</v>
      </c>
      <c r="O53" s="45">
        <v>0</v>
      </c>
      <c r="P53" s="120">
        <f t="shared" si="29"/>
        <v>0</v>
      </c>
      <c r="Q53" s="121">
        <f t="shared" si="30"/>
        <v>0</v>
      </c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 spans="1:29" ht="12.8" customHeight="1" ns1:dyDescent="0.25">
      <c r="A54" s="1">
        <f t="shared" si="31"/>
        <v>8</v>
      </c>
      <c r="B54" s="122" t="inlineStr">
        <is>
          <t>Sonam T Lama</t>
        </is>
      </c>
      <c r="C54" s="96">
        <v>17</v>
      </c>
      <c r="D54" s="118">
        <f t="shared" si="23"/>
        <v>0</v>
      </c>
      <c r="E54" s="34">
        <f t="shared" si="24"/>
        <v>0</v>
      </c>
      <c r="F54" s="33">
        <f t="shared" si="25"/>
        <v>0</v>
      </c>
      <c r="G54" s="119">
        <v>0</v>
      </c>
      <c r="H54" s="34">
        <v>0</v>
      </c>
      <c r="I54" s="34">
        <v>0</v>
      </c>
      <c r="J54" s="34">
        <v>0</v>
      </c>
      <c r="K54" s="45">
        <v>25.25</v>
      </c>
      <c r="L54" s="120">
        <f t="shared" si="27"/>
        <v>0</v>
      </c>
      <c r="M54" s="45">
        <v>0</v>
      </c>
      <c r="N54" s="120">
        <f t="shared" si="28"/>
        <v>0</v>
      </c>
      <c r="O54" s="45">
        <v>0</v>
      </c>
      <c r="P54" s="120">
        <f t="shared" si="29"/>
        <v>0</v>
      </c>
      <c r="Q54" s="121">
        <f t="shared" si="30"/>
        <v>0</v>
      </c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 spans="1:29" ht="12.8" customHeight="1" ns1:dyDescent="0.25">
      <c r="A55" s="1">
        <f t="shared" si="31"/>
        <v>9</v>
      </c>
      <c r="B55" s="117" t="inlineStr">
        <is>
          <t>Vincent Vails</t>
        </is>
      </c>
      <c r="C55" s="96">
        <v>17</v>
      </c>
      <c r="D55" s="118">
        <f t="shared" si="23"/>
        <v>0</v>
      </c>
      <c r="E55" s="34">
        <f t="shared" si="24"/>
        <v>0</v>
      </c>
      <c r="F55" s="97">
        <f t="shared" si="25"/>
        <v>0</v>
      </c>
      <c r="G55" s="123">
        <v>0</v>
      </c>
      <c r="H55" s="34">
        <v>0</v>
      </c>
      <c r="I55" s="34">
        <v>0</v>
      </c>
      <c r="J55" s="34">
        <v>0</v>
      </c>
      <c r="K55" s="45">
        <v>0</v>
      </c>
      <c r="L55" s="120">
        <f t="shared" si="27"/>
        <v>0</v>
      </c>
      <c r="M55" s="45">
        <v>0</v>
      </c>
      <c r="N55" s="120">
        <f t="shared" si="28"/>
        <v>0</v>
      </c>
      <c r="O55" s="45">
        <v>0</v>
      </c>
      <c r="P55" s="120">
        <f t="shared" si="29"/>
        <v>0</v>
      </c>
      <c r="Q55" s="121">
        <f t="shared" si="30"/>
        <v>0</v>
      </c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 spans="1:29" ht="12.8" customHeight="1" ns1:dyDescent="0.25">
      <c r="A56" s="1">
        <f t="shared" si="31"/>
        <v>10</v>
      </c>
      <c r="B56" s="122" t="inlineStr">
        <is>
          <t>Vladyslav Kandybiei</t>
        </is>
      </c>
      <c r="C56" s="96">
        <v>17</v>
      </c>
      <c r="D56" s="118">
        <f t="shared" si="23"/>
        <v>0</v>
      </c>
      <c r="E56" s="34">
        <f t="shared" si="24"/>
        <v>0</v>
      </c>
      <c r="F56" s="97">
        <f t="shared" si="25"/>
        <v>0</v>
      </c>
      <c r="G56" s="123">
        <v>0</v>
      </c>
      <c r="H56" s="47">
        <v>0</v>
      </c>
      <c r="I56" s="47">
        <v>0</v>
      </c>
      <c r="J56" s="47">
        <v>0</v>
      </c>
      <c r="K56" s="45">
        <v>0</v>
      </c>
      <c r="L56" s="120">
        <f t="shared" si="27"/>
        <v>0</v>
      </c>
      <c r="M56" s="45">
        <v>0</v>
      </c>
      <c r="N56" s="120">
        <f t="shared" si="28"/>
        <v>0</v>
      </c>
      <c r="O56" s="45">
        <v>0</v>
      </c>
      <c r="P56" s="120">
        <f t="shared" si="29"/>
        <v>0</v>
      </c>
      <c r="Q56" s="124">
        <f t="shared" si="30"/>
        <v>0</v>
      </c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 spans="1:29" ht="12.8" customHeight="1" ns1:dyDescent="0.25">
      <c r="A57" s="13"/>
      <c r="B57" s="125" t="s">
        <v>2</v>
      </c>
      <c r="C57" s="126"/>
      <c r="D57" s="127">
        <f t="shared" ref="D57:K57" si="32">SUM(D47:D56)</f>
        <v>0</v>
      </c>
      <c r="E57" s="64">
        <f t="shared" si="32"/>
        <v>0</v>
      </c>
      <c r="F57" s="99">
        <f t="shared" si="32"/>
        <v>0</v>
      </c>
      <c r="G57" s="100">
        <f t="shared" si="32"/>
        <v>0</v>
      </c>
      <c r="H57" s="99">
        <f t="shared" si="32"/>
        <v>0</v>
      </c>
      <c r="I57" s="99">
        <f t="shared" si="32"/>
        <v>0</v>
      </c>
      <c r="J57" s="99">
        <f t="shared" si="32"/>
        <v>0</v>
      </c>
      <c r="K57" s="101">
        <f t="shared" si="32"/>
        <v>0</v>
      </c>
      <c r="L57" s="128">
        <f t="shared" si="27"/>
        <v>0</v>
      </c>
      <c r="M57" s="101">
        <f>SUM(M47:M56)</f>
        <v>0</v>
      </c>
      <c r="N57" s="128">
        <f t="shared" si="28"/>
        <v>0</v>
      </c>
      <c r="O57" s="101">
        <f>SUM(O47:O56)</f>
        <v>0</v>
      </c>
      <c r="P57" s="128">
        <f t="shared" si="29"/>
        <v>0</v>
      </c>
      <c r="Q57" s="69">
        <f>SUM(Q47:Q56)</f>
        <v>0</v>
      </c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</row>
    <row r="58" spans="1:29" ht="12.8" customHeight="1" ns1:dyDescent="0.25">
      <c r="A58" s="1"/>
      <c r="B58" s="71" t="s">
        <v>34</v>
      </c>
      <c r="C58" s="2"/>
      <c r="D58" s="72"/>
      <c r="E58" s="74"/>
      <c r="F58" s="74"/>
      <c r="G58" s="129"/>
      <c r="H58" s="74"/>
      <c r="I58" s="74"/>
      <c r="J58" s="74"/>
      <c r="K58" s="73"/>
      <c r="L58" s="73"/>
      <c r="M58" s="73"/>
      <c r="N58" s="73"/>
      <c r="O58" s="73"/>
      <c r="P58" s="73"/>
      <c r="Q58" s="73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 spans="1:29" ht="12.8" customHeight="1" ns1:dyDescent="0.25">
      <c r="A59" s="1"/>
      <c r="B59" s="6" t="s">
        <v>35</v>
      </c>
      <c r="C59" s="2"/>
      <c r="D59" s="72"/>
      <c r="E59" s="74">
        <f>E57+G57</f>
        <v>0</v>
      </c>
      <c r="F59" s="74"/>
      <c r="G59" s="75">
        <f>SUM(H59:J59)/1.18</f>
        <v>0</v>
      </c>
      <c r="H59" s="76">
        <f t="shared" ref="H59:J59" si="33">H57*1.18</f>
        <v>0</v>
      </c>
      <c r="I59" s="76">
        <f t="shared" si="33"/>
        <v>0</v>
      </c>
      <c r="J59" s="76">
        <f t="shared" si="33"/>
        <v>0</v>
      </c>
      <c r="K59" s="106">
        <f>SUMPRODUCT(E47:E56,L47:L56)*1.18</f>
        <v>0</v>
      </c>
      <c r="L59" s="107"/>
      <c r="M59" s="106">
        <f>SUMPRODUCT(E47:E56,N47:N56)*1.18</f>
        <v>0</v>
      </c>
      <c r="N59" s="107"/>
      <c r="O59" s="106">
        <f>SUMPRODUCT(E47:E56,P47:P56)*1.18</f>
        <v>0</v>
      </c>
      <c r="P59" s="107"/>
      <c r="Q59" s="108">
        <f>(K59+M59+O59)/1.18</f>
        <v>0</v>
      </c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 spans="1:29" ht="12.8" customHeight="1" ns1:dyDescent="0.25">
      <c r="A60" s="1"/>
      <c r="B60" s="83"/>
      <c r="C60" s="2"/>
      <c r="D60" s="72"/>
      <c r="E60" s="74">
        <f>G59+Q59</f>
        <v>0</v>
      </c>
      <c r="F60" s="74"/>
      <c r="G60" s="129"/>
      <c r="H60" s="74"/>
      <c r="I60" s="74"/>
      <c r="J60" s="74"/>
      <c r="K60" s="82"/>
      <c r="L60" s="82"/>
      <c r="M60" s="82"/>
      <c r="N60" s="82"/>
      <c r="O60" s="82"/>
      <c r="P60" s="82"/>
      <c r="Q60" s="8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 spans="1:29" ht="12.8" customHeight="1" ns1:dyDescent="0.25">
      <c r="A61" s="1"/>
      <c r="B61" s="83"/>
      <c r="C61" s="2"/>
      <c r="D61" s="72"/>
      <c r="E61" s="74"/>
      <c r="F61" s="74"/>
      <c r="G61" s="129"/>
      <c r="H61" s="74"/>
      <c r="I61" s="74"/>
      <c r="J61" s="74"/>
      <c r="K61" s="82"/>
      <c r="L61" s="82"/>
      <c r="M61" s="82"/>
      <c r="N61" s="82"/>
      <c r="O61" s="82"/>
      <c r="P61" s="82"/>
      <c r="Q61" s="8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 spans="1:29" ht="12.8" customHeight="1" ns1:dyDescent="0.25">
      <c r="A62" s="1"/>
      <c r="B62" s="2"/>
      <c r="C62" s="2"/>
      <c r="D62" s="72"/>
      <c r="E62" s="74"/>
      <c r="F62" s="74"/>
      <c r="G62" s="129"/>
      <c r="H62" s="74"/>
      <c r="I62" s="74"/>
      <c r="J62" s="74"/>
      <c r="K62" s="130"/>
      <c r="L62" s="130"/>
      <c r="M62" s="130"/>
      <c r="N62" s="130"/>
      <c r="O62" s="130"/>
      <c r="P62" s="130"/>
      <c r="Q62" s="104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 spans="1:29" ht="12.8" customHeight="1" ns1:dyDescent="0.25">
      <c r="A63" s="13"/>
      <c r="B63" s="131" t="s">
        <v>53</v>
      </c>
      <c r="C63" s="132"/>
      <c r="D63" s="133"/>
      <c r="E63" s="132"/>
      <c r="F63" s="132"/>
      <c r="G63" s="134"/>
      <c r="H63" s="132"/>
      <c r="I63" s="132"/>
      <c r="J63" s="132"/>
      <c r="K63" s="135"/>
      <c r="L63" s="135"/>
      <c r="M63" s="135"/>
      <c r="N63" s="135"/>
      <c r="O63" s="135"/>
      <c r="P63" s="135"/>
      <c r="Q63" s="136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</row>
    <row r="64" spans="1:29" ht="12.8" customHeight="1" ns1:dyDescent="0.25">
      <c r="A64" s="1"/>
      <c r="B64" s="137" t="inlineStr">
        <is>
          <t>Chhiring L Gurung</t>
        </is>
      </c>
      <c r="C64" s="138">
        <v>17</v>
      </c>
      <c r="D64" s="32">
        <f t="shared" ref="D64:D75" si="34">Q64</f>
        <v>0</v>
      </c>
      <c r="E64" s="34">
        <f t="shared" ref="E64:E85" si="35">IF(D64&gt;40,(D64-40)*(C64*1.5)+(C64*40),D64*C64)</f>
        <v>0</v>
      </c>
      <c r="F64" s="34">
        <f t="shared" ref="F64:F75" si="36">IF(D64&gt;40,(D64-40)*(C64*0.5),0)</f>
        <v>0</v>
      </c>
      <c r="G64" s="35">
        <v>0</v>
      </c>
      <c r="H64" s="34">
        <v>0</v>
      </c>
      <c r="I64" s="34">
        <v>0</v>
      </c>
      <c r="J64" s="34">
        <v>0</v>
      </c>
      <c r="K64" s="39">
        <v>11</v>
      </c>
      <c r="L64" s="37">
        <f t="shared" ref="L64:L86" si="38">IFERROR(K64/Q64,0)</f>
        <v>0</v>
      </c>
      <c r="M64" s="39">
        <v>12</v>
      </c>
      <c r="N64" s="37">
        <f t="shared" ref="N64:N86" si="39">IFERROR(M64/Q64,0)</f>
        <v>0</v>
      </c>
      <c r="O64" s="39">
        <v>0</v>
      </c>
      <c r="P64" s="37">
        <f t="shared" ref="P64:P86" si="40">IFERROR(O64/Q64,0)</f>
        <v>0</v>
      </c>
      <c r="Q64" s="40">
        <f t="shared" ref="Q64:Q75" si="41">O64+M64+K64</f>
        <v>0</v>
      </c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 spans="1:29" ht="12.8" customHeight="1" ns1:dyDescent="0.25">
      <c r="A65" s="1">
        <f t="shared" ref="A65:A72" si="42">1+A64</f>
        <v>1</v>
      </c>
      <c r="B65" s="137" t="inlineStr">
        <is>
          <t>Dorgee Namjom</t>
        </is>
      </c>
      <c r="C65" s="138">
        <v>17</v>
      </c>
      <c r="D65" s="32">
        <f t="shared" si="34"/>
        <v>0</v>
      </c>
      <c r="E65" s="34">
        <f t="shared" si="35"/>
        <v>0</v>
      </c>
      <c r="F65" s="34">
        <f t="shared" si="36"/>
        <v>0</v>
      </c>
      <c r="G65" s="35">
        <v>0</v>
      </c>
      <c r="H65" s="34">
        <v>0</v>
      </c>
      <c r="I65" s="139">
        <v>0</v>
      </c>
      <c r="J65" s="139">
        <v>0</v>
      </c>
      <c r="K65" s="39">
        <v>0</v>
      </c>
      <c r="L65" s="37">
        <f t="shared" si="38"/>
        <v>0</v>
      </c>
      <c r="M65" s="39">
        <v>0</v>
      </c>
      <c r="N65" s="37">
        <f t="shared" si="39"/>
        <v>0</v>
      </c>
      <c r="O65" s="39">
        <v>10.5</v>
      </c>
      <c r="P65" s="37">
        <f t="shared" si="40"/>
        <v>0</v>
      </c>
      <c r="Q65" s="40">
        <f t="shared" si="41"/>
        <v>0</v>
      </c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 spans="1:29" ht="12.8" customHeight="1" ns1:dyDescent="0.25">
      <c r="A66" s="1">
        <f t="shared" si="42"/>
        <v>2</v>
      </c>
      <c r="B66" s="140" t="inlineStr">
        <is>
          <t>Dwayne K Guerra</t>
        </is>
      </c>
      <c r="C66" s="141">
        <v>21</v>
      </c>
      <c r="D66" s="32">
        <f t="shared" si="34"/>
        <v>0</v>
      </c>
      <c r="E66" s="34">
        <f t="shared" si="35"/>
        <v>0</v>
      </c>
      <c r="F66" s="34">
        <f t="shared" si="36"/>
        <v>0</v>
      </c>
      <c r="G66" s="35">
        <v>115</v>
      </c>
      <c r="H66" s="34">
        <v>0</v>
      </c>
      <c r="I66" s="142">
        <v>0</v>
      </c>
      <c r="J66" s="142">
        <v>115</v>
      </c>
      <c r="K66" s="39">
        <v>0</v>
      </c>
      <c r="L66" s="37">
        <f t="shared" si="38"/>
        <v>0</v>
      </c>
      <c r="M66" s="39">
        <v>0</v>
      </c>
      <c r="N66" s="37">
        <f t="shared" si="39"/>
        <v>0</v>
      </c>
      <c r="O66" s="39">
        <v>26.5</v>
      </c>
      <c r="P66" s="37">
        <f t="shared" si="40"/>
        <v>0</v>
      </c>
      <c r="Q66" s="40">
        <f t="shared" si="41"/>
        <v>0</v>
      </c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 spans="1:29" ht="12.8" customHeight="1" ns1:dyDescent="0.25">
      <c r="A67" s="1">
        <f t="shared" si="42"/>
        <v>3</v>
      </c>
      <c r="B67" s="143" t="inlineStr">
        <is>
          <t>John Johnson</t>
        </is>
      </c>
      <c r="C67" s="141">
        <v>19</v>
      </c>
      <c r="D67" s="32">
        <f t="shared" si="34"/>
        <v>0</v>
      </c>
      <c r="E67" s="34">
        <f t="shared" si="35"/>
        <v>0</v>
      </c>
      <c r="F67" s="34">
        <f t="shared" si="36"/>
        <v>0</v>
      </c>
      <c r="G67" s="35">
        <v>0</v>
      </c>
      <c r="H67" s="47">
        <v>0</v>
      </c>
      <c r="I67" s="139">
        <v>0</v>
      </c>
      <c r="J67" s="139">
        <v>0</v>
      </c>
      <c r="K67" s="50">
        <v>0</v>
      </c>
      <c r="L67" s="144">
        <f t="shared" si="38"/>
        <v>0</v>
      </c>
      <c r="M67" s="50">
        <v>0</v>
      </c>
      <c r="N67" s="144">
        <f t="shared" si="39"/>
        <v>0</v>
      </c>
      <c r="O67" s="50">
        <v>0</v>
      </c>
      <c r="P67" s="144">
        <f t="shared" si="40"/>
        <v>0</v>
      </c>
      <c r="Q67" s="40">
        <f t="shared" si="41"/>
        <v>0</v>
      </c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 spans="1:29" ht="12.8" customHeight="1" ns1:dyDescent="0.25">
      <c r="A68" s="1">
        <f t="shared" si="42"/>
        <v>4</v>
      </c>
      <c r="B68" s="143" t="inlineStr">
        <is>
          <t>Juan Francisco Cevallos Garzon</t>
        </is>
      </c>
      <c r="C68" s="141">
        <v>20</v>
      </c>
      <c r="D68" s="32">
        <f t="shared" si="34"/>
        <v>0</v>
      </c>
      <c r="E68" s="34">
        <f t="shared" si="35"/>
        <v>0</v>
      </c>
      <c r="F68" s="34">
        <f t="shared" si="36"/>
        <v>0</v>
      </c>
      <c r="G68" s="35">
        <v>0</v>
      </c>
      <c r="H68" s="47">
        <v>0</v>
      </c>
      <c r="I68" s="145">
        <v>0</v>
      </c>
      <c r="J68" s="145">
        <v>0</v>
      </c>
      <c r="K68" s="50">
        <v>0</v>
      </c>
      <c r="L68" s="144">
        <f t="shared" si="38"/>
        <v>0</v>
      </c>
      <c r="M68" s="50">
        <v>0</v>
      </c>
      <c r="N68" s="144">
        <f t="shared" si="39"/>
        <v>0</v>
      </c>
      <c r="O68" s="50">
        <v>0</v>
      </c>
      <c r="P68" s="144">
        <f t="shared" si="40"/>
        <v>0</v>
      </c>
      <c r="Q68" s="40">
        <f t="shared" si="41"/>
        <v>0</v>
      </c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 spans="1:29" ht="12.8" customHeight="1" ns1:dyDescent="0.25">
      <c r="A69" s="1">
        <f t="shared" si="42"/>
        <v>5</v>
      </c>
      <c r="B69" s="137" t="inlineStr">
        <is>
          <t>Nurba T Gurung</t>
        </is>
      </c>
      <c r="C69" s="138">
        <v>17</v>
      </c>
      <c r="D69" s="32">
        <f t="shared" si="34"/>
        <v>0</v>
      </c>
      <c r="E69" s="34">
        <f t="shared" si="35"/>
        <v>0</v>
      </c>
      <c r="F69" s="34">
        <f t="shared" si="36"/>
        <v>0</v>
      </c>
      <c r="G69" s="35">
        <v>0</v>
      </c>
      <c r="H69" s="47">
        <v>0</v>
      </c>
      <c r="I69" s="145">
        <v>0</v>
      </c>
      <c r="J69" s="145">
        <v>0</v>
      </c>
      <c r="K69" s="50">
        <v>18</v>
      </c>
      <c r="L69" s="144">
        <f t="shared" si="38"/>
        <v>0</v>
      </c>
      <c r="M69" s="50">
        <v>0</v>
      </c>
      <c r="N69" s="144">
        <f t="shared" si="39"/>
        <v>0</v>
      </c>
      <c r="O69" s="50">
        <v>4</v>
      </c>
      <c r="P69" s="144">
        <f t="shared" si="40"/>
        <v>0</v>
      </c>
      <c r="Q69" s="40">
        <f t="shared" si="41"/>
        <v>0</v>
      </c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 spans="1:29" ht="12.8" customHeight="1" ns1:dyDescent="0.25">
      <c r="A70" s="1">
        <f t="shared" si="42"/>
        <v>6</v>
      </c>
      <c r="B70" s="137" t="inlineStr">
        <is>
          <t>Phuri Sherpa</t>
        </is>
      </c>
      <c r="C70" s="138">
        <v>18</v>
      </c>
      <c r="D70" s="32">
        <f t="shared" si="34"/>
        <v>0</v>
      </c>
      <c r="E70" s="34">
        <f t="shared" si="35"/>
        <v>0</v>
      </c>
      <c r="F70" s="34">
        <f t="shared" si="36"/>
        <v>0</v>
      </c>
      <c r="G70" s="35">
        <v>0</v>
      </c>
      <c r="H70" s="47">
        <v>0</v>
      </c>
      <c r="I70" s="145">
        <v>0</v>
      </c>
      <c r="J70" s="145">
        <v>0</v>
      </c>
      <c r="K70" s="50">
        <v>0</v>
      </c>
      <c r="L70" s="144">
        <f t="shared" si="38"/>
        <v>0</v>
      </c>
      <c r="M70" s="50">
        <v>0</v>
      </c>
      <c r="N70" s="144">
        <f t="shared" si="39"/>
        <v>0</v>
      </c>
      <c r="O70" s="50">
        <v>25.5</v>
      </c>
      <c r="P70" s="144">
        <f t="shared" si="40"/>
        <v>0</v>
      </c>
      <c r="Q70" s="40">
        <f t="shared" si="41"/>
        <v>0</v>
      </c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 spans="1:29" ht="12.8" customHeight="1" ns1:dyDescent="0.25">
      <c r="A71" s="1">
        <f t="shared" si="42"/>
        <v>7</v>
      </c>
      <c r="B71" s="140" t="inlineStr">
        <is>
          <t>Tyshawn Eugene Allen</t>
        </is>
      </c>
      <c r="C71" s="138">
        <v>20</v>
      </c>
      <c r="D71" s="32">
        <f t="shared" si="34"/>
        <v>0</v>
      </c>
      <c r="E71" s="34">
        <f t="shared" si="35"/>
        <v>0</v>
      </c>
      <c r="F71" s="34">
        <f t="shared" si="36"/>
        <v>0</v>
      </c>
      <c r="G71" s="35">
        <v>0</v>
      </c>
      <c r="H71" s="47">
        <v>0</v>
      </c>
      <c r="I71" s="145">
        <v>0</v>
      </c>
      <c r="J71" s="145">
        <v>0</v>
      </c>
      <c r="K71" s="50">
        <v>0</v>
      </c>
      <c r="L71" s="144">
        <f t="shared" si="38"/>
        <v>0</v>
      </c>
      <c r="M71" s="50">
        <v>0</v>
      </c>
      <c r="N71" s="144">
        <f t="shared" si="39"/>
        <v>0</v>
      </c>
      <c r="O71" s="50">
        <v>40</v>
      </c>
      <c r="P71" s="144">
        <f t="shared" si="40"/>
        <v>0</v>
      </c>
      <c r="Q71" s="40">
        <f t="shared" si="41"/>
        <v>0</v>
      </c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 spans="1:29" ht="12.8" customHeight="1" ns1:dyDescent="0.25">
      <c r="A72" s="1">
        <f t="shared" si="42"/>
        <v>8</v>
      </c>
      <c r="B72" s="137" t="inlineStr">
        <is>
          <t/>
        </is>
      </c>
      <c r="C72" s="138">
        <v>0</v>
      </c>
      <c r="D72" s="32">
        <f t="shared" si="34"/>
        <v>0</v>
      </c>
      <c r="E72" s="34">
        <f t="shared" si="35"/>
        <v>0</v>
      </c>
      <c r="F72" s="34">
        <f t="shared" si="36"/>
        <v>0</v>
      </c>
      <c r="G72" s="35">
        <v>0</v>
      </c>
      <c r="H72" s="34">
        <v>0</v>
      </c>
      <c r="I72" s="139">
        <v>0</v>
      </c>
      <c r="J72" s="34">
        <v>0</v>
      </c>
      <c r="K72" s="39">
        <v>0</v>
      </c>
      <c r="L72" s="37">
        <f t="shared" si="38"/>
        <v>0</v>
      </c>
      <c r="M72" s="39">
        <v>0</v>
      </c>
      <c r="N72" s="37">
        <f t="shared" si="39"/>
        <v>0</v>
      </c>
      <c r="O72" s="39">
        <v>0</v>
      </c>
      <c r="P72" s="37">
        <f t="shared" si="40"/>
        <v>0</v>
      </c>
      <c r="Q72" s="40">
        <f t="shared" si="41"/>
        <v>0</v>
      </c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 spans="1:29" ht="12.8" customHeight="1" ns1:dyDescent="0.25">
      <c r="A73" s="1"/>
      <c r="B73" s="137" t="inlineStr">
        <is>
          <t/>
        </is>
      </c>
      <c r="C73" s="138">
        <v>0</v>
      </c>
      <c r="D73" s="32">
        <f t="shared" si="34"/>
        <v>0</v>
      </c>
      <c r="E73" s="34">
        <f t="shared" si="35"/>
        <v>0</v>
      </c>
      <c r="F73" s="34">
        <f t="shared" si="36"/>
        <v>0</v>
      </c>
      <c r="G73" s="35">
        <v>0</v>
      </c>
      <c r="H73" s="34">
        <v>0</v>
      </c>
      <c r="I73" s="139">
        <v>0</v>
      </c>
      <c r="J73" s="34">
        <v>0</v>
      </c>
      <c r="K73" s="39">
        <v>0</v>
      </c>
      <c r="L73" s="37">
        <f t="shared" si="38"/>
        <v>0</v>
      </c>
      <c r="M73" s="39">
        <v>0</v>
      </c>
      <c r="N73" s="37">
        <f t="shared" si="39"/>
        <v>0</v>
      </c>
      <c r="O73" s="39">
        <v>0</v>
      </c>
      <c r="P73" s="37">
        <f t="shared" si="40"/>
        <v>0</v>
      </c>
      <c r="Q73" s="40">
        <f t="shared" si="41"/>
        <v>0</v>
      </c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 spans="1:29" ht="12.8" customHeight="1" ns1:dyDescent="0.25">
      <c r="A74" s="1"/>
      <c r="B74" s="137" t="inlineStr">
        <is>
          <t/>
        </is>
      </c>
      <c r="C74" s="141">
        <v>0</v>
      </c>
      <c r="D74" s="32">
        <f t="shared" si="34"/>
        <v>0</v>
      </c>
      <c r="E74" s="34">
        <f t="shared" si="35"/>
        <v>0</v>
      </c>
      <c r="F74" s="34">
        <f t="shared" si="36"/>
        <v>0</v>
      </c>
      <c r="G74" s="35">
        <v>0</v>
      </c>
      <c r="H74" s="42">
        <v>0</v>
      </c>
      <c r="I74" s="42">
        <v>0</v>
      </c>
      <c r="J74" s="42">
        <v>0</v>
      </c>
      <c r="K74" s="45">
        <v>0</v>
      </c>
      <c r="L74" s="120">
        <f t="shared" si="38"/>
        <v>0</v>
      </c>
      <c r="M74" s="45">
        <v>0</v>
      </c>
      <c r="N74" s="120">
        <f t="shared" si="39"/>
        <v>0</v>
      </c>
      <c r="O74" s="45">
        <v>0</v>
      </c>
      <c r="P74" s="120">
        <f t="shared" si="40"/>
        <v>0</v>
      </c>
      <c r="Q74" s="40">
        <f t="shared" si="41"/>
        <v>0</v>
      </c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 spans="1:29" ht="12.8" customHeight="1" ns1:dyDescent="0.25">
      <c r="A75" s="1"/>
      <c r="B75" s="146" t="inlineStr">
        <is>
          <t/>
        </is>
      </c>
      <c r="C75" s="138">
        <v>0</v>
      </c>
      <c r="D75" s="32">
        <f t="shared" si="34"/>
        <v>0</v>
      </c>
      <c r="E75" s="34">
        <f t="shared" si="35"/>
        <v>0</v>
      </c>
      <c r="F75" s="34">
        <f t="shared" si="36"/>
        <v>0</v>
      </c>
      <c r="G75" s="35">
        <v>0</v>
      </c>
      <c r="H75" s="34">
        <v>0</v>
      </c>
      <c r="I75" s="34">
        <v>0</v>
      </c>
      <c r="J75" s="34">
        <v>0</v>
      </c>
      <c r="K75" s="39">
        <v>0</v>
      </c>
      <c r="L75" s="37">
        <f t="shared" si="38"/>
        <v>0</v>
      </c>
      <c r="M75" s="39">
        <v>0</v>
      </c>
      <c r="N75" s="37">
        <f t="shared" si="39"/>
        <v>0</v>
      </c>
      <c r="O75" s="39">
        <v>0</v>
      </c>
      <c r="P75" s="37">
        <f t="shared" si="40"/>
        <v>0</v>
      </c>
      <c r="Q75" s="40">
        <f t="shared" si="41"/>
        <v>0</v>
      </c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 spans="1:29" ht="12.8" customHeight="1" ns1:dyDescent="0.25">
      <c r="A76" s="1">
        <f t="shared" ref="A76:A81" si="43">1+A75</f>
        <v>1</v>
      </c>
      <c r="B76" s="147" t="inlineStr">
        <is>
          <t/>
        </is>
      </c>
      <c r="C76" s="96">
        <v>0</v>
      </c>
      <c r="D76" s="32">
        <f t="shared" ref="D76:D85" si="44">SUM(K76:O76)</f>
        <v>0</v>
      </c>
      <c r="E76" s="34">
        <f t="shared" si="35"/>
        <v>0</v>
      </c>
      <c r="F76" s="34"/>
      <c r="G76" s="35">
        <v>0</v>
      </c>
      <c r="H76" s="34">
        <v>0</v>
      </c>
      <c r="I76" s="34">
        <v>0</v>
      </c>
      <c r="J76" s="34">
        <v>0</v>
      </c>
      <c r="K76" s="39">
        <v>0</v>
      </c>
      <c r="L76" s="37">
        <f t="shared" si="38"/>
        <v>0</v>
      </c>
      <c r="M76" s="39">
        <v>0</v>
      </c>
      <c r="N76" s="37">
        <f t="shared" si="39"/>
        <v>0</v>
      </c>
      <c r="O76" s="39">
        <v>0</v>
      </c>
      <c r="P76" s="37">
        <f t="shared" si="40"/>
        <v>0</v>
      </c>
      <c r="Q76" s="40">
        <f t="shared" ref="Q76:Q86" si="45">K76+M76+O76</f>
        <v>0</v>
      </c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 spans="1:29" ht="12.8" customHeight="1" ns1:dyDescent="0.25">
      <c r="A77" s="1">
        <f t="shared" si="43"/>
        <v>2</v>
      </c>
      <c r="B77" s="148" t="inlineStr">
        <is>
          <t/>
        </is>
      </c>
      <c r="C77" s="96">
        <v>0</v>
      </c>
      <c r="D77" s="32">
        <f t="shared" si="44"/>
        <v>0</v>
      </c>
      <c r="E77" s="34">
        <f t="shared" si="35"/>
        <v>0</v>
      </c>
      <c r="F77" s="34"/>
      <c r="G77" s="35">
        <v>0</v>
      </c>
      <c r="H77" s="34">
        <v>0</v>
      </c>
      <c r="I77" s="34">
        <v>0</v>
      </c>
      <c r="J77" s="34">
        <v>0</v>
      </c>
      <c r="K77" s="39">
        <v>0</v>
      </c>
      <c r="L77" s="37">
        <f t="shared" si="38"/>
        <v>0</v>
      </c>
      <c r="M77" s="39">
        <v>0</v>
      </c>
      <c r="N77" s="37">
        <f t="shared" si="39"/>
        <v>0</v>
      </c>
      <c r="O77" s="39">
        <v>0</v>
      </c>
      <c r="P77" s="37">
        <f t="shared" si="40"/>
        <v>0</v>
      </c>
      <c r="Q77" s="40">
        <f t="shared" si="45"/>
        <v>0</v>
      </c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 spans="1:29" ht="12.8" customHeight="1" ns1:dyDescent="0.25">
      <c r="A78" s="1">
        <f t="shared" si="43"/>
        <v>3</v>
      </c>
      <c r="B78" s="149" t="inlineStr">
        <is>
          <t/>
        </is>
      </c>
      <c r="C78" s="96">
        <v>0</v>
      </c>
      <c r="D78" s="32">
        <f t="shared" si="44"/>
        <v>0</v>
      </c>
      <c r="E78" s="34">
        <f t="shared" si="35"/>
        <v>0</v>
      </c>
      <c r="F78" s="34"/>
      <c r="G78" s="35">
        <v>0</v>
      </c>
      <c r="H78" s="34">
        <v>0</v>
      </c>
      <c r="I78" s="34">
        <v>0</v>
      </c>
      <c r="J78" s="34">
        <v>0</v>
      </c>
      <c r="K78" s="39">
        <v>0</v>
      </c>
      <c r="L78" s="37">
        <f t="shared" si="38"/>
        <v>0</v>
      </c>
      <c r="M78" s="39">
        <v>0</v>
      </c>
      <c r="N78" s="37">
        <f t="shared" si="39"/>
        <v>0</v>
      </c>
      <c r="O78" s="39">
        <v>0</v>
      </c>
      <c r="P78" s="37">
        <f t="shared" si="40"/>
        <v>0</v>
      </c>
      <c r="Q78" s="40">
        <f t="shared" si="45"/>
        <v>0</v>
      </c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 spans="1:29" ht="12.8" customHeight="1" ns1:dyDescent="0.25">
      <c r="A79" s="1">
        <f t="shared" si="43"/>
        <v>4</v>
      </c>
      <c r="B79" s="150" t="inlineStr">
        <is>
          <t/>
        </is>
      </c>
      <c r="C79" s="96">
        <v>0</v>
      </c>
      <c r="D79" s="32">
        <f t="shared" si="44"/>
        <v>0</v>
      </c>
      <c r="E79" s="34">
        <f t="shared" si="35"/>
        <v>0</v>
      </c>
      <c r="F79" s="34"/>
      <c r="G79" s="35">
        <v>0</v>
      </c>
      <c r="H79" s="34">
        <v>0</v>
      </c>
      <c r="I79" s="34">
        <v>0</v>
      </c>
      <c r="J79" s="34">
        <v>0</v>
      </c>
      <c r="K79" s="39">
        <v>0</v>
      </c>
      <c r="L79" s="37">
        <f t="shared" si="38"/>
        <v>0</v>
      </c>
      <c r="M79" s="39">
        <v>0</v>
      </c>
      <c r="N79" s="37">
        <f t="shared" si="39"/>
        <v>0</v>
      </c>
      <c r="O79" s="39">
        <v>0</v>
      </c>
      <c r="P79" s="37">
        <f t="shared" si="40"/>
        <v>0</v>
      </c>
      <c r="Q79" s="40">
        <f t="shared" si="45"/>
        <v>0</v>
      </c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 spans="1:29" ht="12.8" customHeight="1" ns1:dyDescent="0.25">
      <c r="A80" s="1">
        <f t="shared" si="43"/>
        <v>5</v>
      </c>
      <c r="B80" s="30" t="inlineStr">
        <is>
          <t/>
        </is>
      </c>
      <c r="C80" s="96">
        <v>0</v>
      </c>
      <c r="D80" s="32">
        <f t="shared" si="44"/>
        <v>0</v>
      </c>
      <c r="E80" s="34">
        <f t="shared" si="35"/>
        <v>0</v>
      </c>
      <c r="F80" s="34"/>
      <c r="G80" s="35">
        <v>0</v>
      </c>
      <c r="H80" s="34">
        <v>0</v>
      </c>
      <c r="I80" s="34">
        <v>0</v>
      </c>
      <c r="J80" s="34">
        <v>0</v>
      </c>
      <c r="K80" s="39">
        <v>0</v>
      </c>
      <c r="L80" s="37">
        <f t="shared" si="38"/>
        <v>0</v>
      </c>
      <c r="M80" s="39">
        <v>0</v>
      </c>
      <c r="N80" s="37">
        <f t="shared" si="39"/>
        <v>0</v>
      </c>
      <c r="O80" s="39">
        <v>0</v>
      </c>
      <c r="P80" s="37">
        <f t="shared" si="40"/>
        <v>0</v>
      </c>
      <c r="Q80" s="40">
        <f t="shared" si="45"/>
        <v>0</v>
      </c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 spans="1:29" ht="12.8" customHeight="1" ns1:dyDescent="0.25">
      <c r="A81" s="1">
        <f t="shared" si="43"/>
        <v>6</v>
      </c>
      <c r="B81" s="30" t="inlineStr">
        <is>
          <t/>
        </is>
      </c>
      <c r="C81" s="96">
        <v>0</v>
      </c>
      <c r="D81" s="32">
        <f t="shared" si="44"/>
        <v>0</v>
      </c>
      <c r="E81" s="34">
        <f t="shared" si="35"/>
        <v>0</v>
      </c>
      <c r="F81" s="34"/>
      <c r="G81" s="35">
        <v>0</v>
      </c>
      <c r="H81" s="34">
        <v>0</v>
      </c>
      <c r="I81" s="34">
        <v>0</v>
      </c>
      <c r="J81" s="34">
        <v>0</v>
      </c>
      <c r="K81" s="39">
        <v>0</v>
      </c>
      <c r="L81" s="37">
        <f t="shared" si="38"/>
        <v>0</v>
      </c>
      <c r="M81" s="39">
        <v>0</v>
      </c>
      <c r="N81" s="37">
        <f t="shared" si="39"/>
        <v>0</v>
      </c>
      <c r="O81" s="39">
        <v>0</v>
      </c>
      <c r="P81" s="37">
        <f t="shared" si="40"/>
        <v>0</v>
      </c>
      <c r="Q81" s="40">
        <f t="shared" si="45"/>
        <v>0</v>
      </c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 spans="1:29" ht="12.8" customHeight="1" ns1:dyDescent="0.25">
      <c r="A82" s="1">
        <v>13</v>
      </c>
      <c r="B82" s="30" t="inlineStr">
        <is>
          <t/>
        </is>
      </c>
      <c r="C82" s="96">
        <v>0</v>
      </c>
      <c r="D82" s="32">
        <f t="shared" si="44"/>
        <v>0</v>
      </c>
      <c r="E82" s="34">
        <f t="shared" si="35"/>
        <v>0</v>
      </c>
      <c r="F82" s="34"/>
      <c r="G82" s="35">
        <v>0</v>
      </c>
      <c r="H82" s="34">
        <v>0</v>
      </c>
      <c r="I82" s="34">
        <v>0</v>
      </c>
      <c r="J82" s="34">
        <v>0</v>
      </c>
      <c r="K82" s="39">
        <v>0</v>
      </c>
      <c r="L82" s="37">
        <f t="shared" si="38"/>
        <v>0</v>
      </c>
      <c r="M82" s="39">
        <v>0</v>
      </c>
      <c r="N82" s="37">
        <f t="shared" si="39"/>
        <v>0</v>
      </c>
      <c r="O82" s="39">
        <v>0</v>
      </c>
      <c r="P82" s="37">
        <f t="shared" si="40"/>
        <v>0</v>
      </c>
      <c r="Q82" s="40">
        <f t="shared" si="45"/>
        <v>0</v>
      </c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 spans="1:29" ht="12.8" customHeight="1" ns1:dyDescent="0.25">
      <c r="A83" s="1">
        <v>14</v>
      </c>
      <c r="B83" s="151" t="inlineStr">
        <is>
          <t/>
        </is>
      </c>
      <c r="C83" s="96">
        <v>0</v>
      </c>
      <c r="D83" s="32">
        <f t="shared" si="44"/>
        <v>0</v>
      </c>
      <c r="E83" s="34">
        <f t="shared" si="35"/>
        <v>0</v>
      </c>
      <c r="F83" s="34"/>
      <c r="G83" s="35">
        <v>0</v>
      </c>
      <c r="H83" s="34">
        <v>0</v>
      </c>
      <c r="I83" s="34">
        <v>0</v>
      </c>
      <c r="J83" s="34">
        <v>0</v>
      </c>
      <c r="K83" s="39">
        <v>0</v>
      </c>
      <c r="L83" s="37">
        <f t="shared" si="38"/>
        <v>0</v>
      </c>
      <c r="M83" s="39">
        <v>0</v>
      </c>
      <c r="N83" s="37">
        <f t="shared" si="39"/>
        <v>0</v>
      </c>
      <c r="O83" s="39">
        <v>0</v>
      </c>
      <c r="P83" s="37">
        <f t="shared" si="40"/>
        <v>0</v>
      </c>
      <c r="Q83" s="40">
        <f t="shared" si="45"/>
        <v>0</v>
      </c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 spans="1:29" ht="12.8" customHeight="1" ns1:dyDescent="0.25">
      <c r="A84" s="1">
        <v>15</v>
      </c>
      <c r="B84" s="30" t="inlineStr">
        <is>
          <t/>
        </is>
      </c>
      <c r="C84" s="96">
        <v>0</v>
      </c>
      <c r="D84" s="32">
        <f t="shared" si="44"/>
        <v>0</v>
      </c>
      <c r="E84" s="34">
        <f t="shared" si="35"/>
        <v>0</v>
      </c>
      <c r="F84" s="34"/>
      <c r="G84" s="35">
        <v>0</v>
      </c>
      <c r="H84" s="34">
        <v>0</v>
      </c>
      <c r="I84" s="34">
        <v>0</v>
      </c>
      <c r="J84" s="34">
        <v>0</v>
      </c>
      <c r="K84" s="39">
        <v>0</v>
      </c>
      <c r="L84" s="37">
        <f t="shared" si="38"/>
        <v>0</v>
      </c>
      <c r="M84" s="39">
        <v>0</v>
      </c>
      <c r="N84" s="37">
        <f t="shared" si="39"/>
        <v>0</v>
      </c>
      <c r="O84" s="39">
        <v>0</v>
      </c>
      <c r="P84" s="37">
        <f t="shared" si="40"/>
        <v>0</v>
      </c>
      <c r="Q84" s="40">
        <f t="shared" si="45"/>
        <v>0</v>
      </c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 spans="1:29" ht="12.8" customHeight="1" ns1:dyDescent="0.25">
      <c r="A85" s="1">
        <v>16</v>
      </c>
      <c r="B85" s="148" t="inlineStr">
        <is>
          <t/>
        </is>
      </c>
      <c r="C85" s="5">
        <v>0</v>
      </c>
      <c r="D85" s="152">
        <f t="shared" si="44"/>
        <v>0</v>
      </c>
      <c r="E85" s="47">
        <f t="shared" si="35"/>
        <v>0</v>
      </c>
      <c r="F85" s="47"/>
      <c r="G85" s="153">
        <v>0</v>
      </c>
      <c r="H85" s="47">
        <v>0</v>
      </c>
      <c r="I85" s="47">
        <v>0</v>
      </c>
      <c r="J85" s="47">
        <v>0</v>
      </c>
      <c r="K85" s="50">
        <v>0</v>
      </c>
      <c r="L85" s="144">
        <f t="shared" si="38"/>
        <v>0</v>
      </c>
      <c r="M85" s="50">
        <v>0</v>
      </c>
      <c r="N85" s="144">
        <f t="shared" si="39"/>
        <v>0</v>
      </c>
      <c r="O85" s="50">
        <v>0</v>
      </c>
      <c r="P85" s="144">
        <f t="shared" si="40"/>
        <v>0</v>
      </c>
      <c r="Q85" s="60">
        <f t="shared" si="45"/>
        <v>0</v>
      </c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 spans="1:29" ht="12.8" customHeight="1" ns1:dyDescent="0.25">
      <c r="A86" s="13"/>
      <c r="B86" s="154" t="s">
        <v>2</v>
      </c>
      <c r="C86" s="155"/>
      <c r="D86" s="156">
        <f t="shared" ref="D86:K86" si="46">SUM(D64:D85)</f>
        <v>0</v>
      </c>
      <c r="E86" s="99">
        <f t="shared" si="46"/>
        <v>0</v>
      </c>
      <c r="F86" s="99">
        <f t="shared" si="46"/>
        <v>0</v>
      </c>
      <c r="G86" s="100">
        <f t="shared" si="46"/>
        <v>0</v>
      </c>
      <c r="H86" s="99">
        <f t="shared" si="46"/>
        <v>0</v>
      </c>
      <c r="I86" s="99">
        <f t="shared" si="46"/>
        <v>0</v>
      </c>
      <c r="J86" s="99">
        <f t="shared" si="46"/>
        <v>0</v>
      </c>
      <c r="K86" s="101">
        <f t="shared" si="46"/>
        <v>0</v>
      </c>
      <c r="L86" s="128">
        <f t="shared" si="38"/>
        <v>0</v>
      </c>
      <c r="M86" s="101">
        <f>SUM(M64:M85)</f>
        <v>0</v>
      </c>
      <c r="N86" s="128">
        <f t="shared" si="39"/>
        <v>0</v>
      </c>
      <c r="O86" s="101">
        <f>SUM(O64:O85)</f>
        <v>0</v>
      </c>
      <c r="P86" s="128">
        <f t="shared" si="40"/>
        <v>0</v>
      </c>
      <c r="Q86" s="101">
        <f t="shared" si="45"/>
        <v>0</v>
      </c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</row>
    <row r="87" spans="1:29" ht="12.8" customHeight="1" ns1:dyDescent="0.25">
      <c r="A87" s="1"/>
      <c r="B87" s="71" t="s">
        <v>34</v>
      </c>
      <c r="C87" s="2"/>
      <c r="D87" s="72"/>
      <c r="E87" s="2"/>
      <c r="F87" s="2"/>
      <c r="G87" s="4"/>
      <c r="H87" s="2"/>
      <c r="I87" s="2"/>
      <c r="J87" s="2"/>
      <c r="K87" s="73"/>
      <c r="L87" s="73"/>
      <c r="M87" s="73"/>
      <c r="N87" s="73"/>
      <c r="O87" s="73"/>
      <c r="P87" s="73"/>
      <c r="Q87" s="73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 spans="1:29" ht="12.8" customHeight="1" ns1:dyDescent="0.25">
      <c r="A88" s="1"/>
      <c r="B88" s="6" t="s">
        <v>35</v>
      </c>
      <c r="C88" s="2"/>
      <c r="D88" s="72"/>
      <c r="E88" s="74">
        <f>E86+G86</f>
        <v>0</v>
      </c>
      <c r="F88" s="74"/>
      <c r="G88" s="75">
        <f>SUM(H88:J88)/1.18</f>
        <v>0</v>
      </c>
      <c r="H88" s="76">
        <f t="shared" ref="H88:J88" si="47">H86*1.18</f>
        <v>0</v>
      </c>
      <c r="I88" s="76">
        <f t="shared" si="47"/>
        <v>0</v>
      </c>
      <c r="J88" s="76">
        <f t="shared" si="47"/>
        <v>0</v>
      </c>
      <c r="K88" s="106">
        <f>SUMPRODUCT(E64:E85,L64:L85)*1.18</f>
        <v>0</v>
      </c>
      <c r="L88" s="107"/>
      <c r="M88" s="106">
        <f>SUMPRODUCT(E64:E85,N64:N85)*1.18</f>
        <v>0</v>
      </c>
      <c r="N88" s="107"/>
      <c r="O88" s="106">
        <f>SUMPRODUCT(E64:E85,P64:P85)*1.18</f>
        <v>0</v>
      </c>
      <c r="P88" s="107"/>
      <c r="Q88" s="108">
        <f>(K88+M88+O88)/1.18</f>
        <v>0</v>
      </c>
      <c r="R88" s="74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 spans="1:29" ht="12.8" customHeight="1" ns1:dyDescent="0.25">
      <c r="A89" s="1"/>
      <c r="B89" s="83"/>
      <c r="C89" s="2"/>
      <c r="D89" s="72"/>
      <c r="E89" s="74">
        <f>G88+Q88</f>
        <v>0</v>
      </c>
      <c r="F89" s="74"/>
      <c r="G89" s="129"/>
      <c r="H89" s="74"/>
      <c r="I89" s="74"/>
      <c r="J89" s="74"/>
      <c r="K89" s="157"/>
      <c r="L89" s="107"/>
      <c r="M89" s="157"/>
      <c r="N89" s="107"/>
      <c r="O89" s="157"/>
      <c r="P89" s="107"/>
      <c r="Q89" s="157"/>
      <c r="R89" s="74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 spans="1:29" ht="12.8" customHeight="1" ns1:dyDescent="0.25">
      <c r="A90" s="1"/>
      <c r="B90" s="83"/>
      <c r="C90" s="2"/>
      <c r="D90" s="72"/>
      <c r="E90" s="2"/>
      <c r="F90" s="2"/>
      <c r="G90" s="4"/>
      <c r="H90" s="2"/>
      <c r="I90" s="2"/>
      <c r="J90" s="2"/>
      <c r="K90" s="107"/>
      <c r="L90" s="107"/>
      <c r="M90" s="107"/>
      <c r="N90" s="107"/>
      <c r="O90" s="107"/>
      <c r="P90" s="107"/>
      <c r="Q90" s="107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 spans="1:29" ht="12.8" customHeight="1" ns1:dyDescent="0.25">
      <c r="A91" s="1"/>
      <c r="B91" s="158" t="s">
        <v>62</v>
      </c>
      <c r="C91" s="2"/>
      <c r="D91" s="159"/>
      <c r="E91" s="2"/>
      <c r="F91" s="160">
        <f>F26+F40+F57+F86</f>
        <v>0</v>
      </c>
      <c r="G91" s="4"/>
      <c r="H91" s="2"/>
      <c r="I91" s="2"/>
      <c r="J91" s="2"/>
      <c r="K91" s="74"/>
      <c r="L91" s="74"/>
      <c r="M91" s="74"/>
      <c r="N91" s="74"/>
      <c r="O91" s="74"/>
      <c r="P91" s="74"/>
      <c r="Q91" s="74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 spans="1:29" ht="12.8" customHeight="1" ns1:dyDescent="0.25">
      <c r="A92" s="1"/>
      <c r="B92" s="2"/>
      <c r="C92" s="2"/>
      <c r="D92" s="72"/>
      <c r="E92" s="2"/>
      <c r="F92" s="2"/>
      <c r="G92" s="4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 spans="1:29" ht="12.8" customHeight="1" ns1:dyDescent="0.25">
      <c r="A93" s="1"/>
      <c r="B93" s="161" t="s">
        <v>63</v>
      </c>
      <c r="C93" s="74" t="e">
        <f>K59+H59-M28-I28-M42-I42</f>
        <v>#DIV/0!</v>
      </c>
      <c r="D93" s="3"/>
      <c r="F93" s="2"/>
      <c r="G93" s="4"/>
      <c r="H93" s="2"/>
      <c r="I93" s="2"/>
      <c r="J93" s="2"/>
      <c r="K93" s="2"/>
      <c r="L93" s="2"/>
      <c r="M93" s="2"/>
      <c r="N93" s="2"/>
      <c r="O93" s="2"/>
      <c r="P93" s="2"/>
      <c r="Q93" s="162">
        <f>Q86+Q57+Q40+Q26</f>
        <v>0</v>
      </c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 spans="1:29" ht="12.8" customHeight="1" ns1:dyDescent="0.25">
      <c r="A94" s="1"/>
      <c r="B94" s="161" t="s">
        <v>64</v>
      </c>
      <c r="C94" s="74" t="e">
        <f>K88+H88-O28-J28-O42-J42</f>
        <v>#DIV/0!</v>
      </c>
      <c r="D94" s="3"/>
      <c r="E94" s="2"/>
      <c r="F94" s="2"/>
      <c r="G94" s="4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 spans="1:29" ht="12.8" customHeight="1" ns1:dyDescent="0.25">
      <c r="A95" s="1"/>
      <c r="B95" s="161" t="s">
        <v>65</v>
      </c>
      <c r="C95" s="74">
        <f>M88+I88-O59-J59</f>
        <v>0</v>
      </c>
      <c r="D95" s="3"/>
      <c r="E95" s="2"/>
      <c r="F95" s="2"/>
      <c r="G95" s="129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 spans="1:29" ht="12.8" customHeight="1" ns1:dyDescent="0.25">
      <c r="A96" s="1"/>
      <c r="B96" s="2"/>
      <c r="C96" s="107"/>
      <c r="D96" s="3"/>
      <c r="E96" s="2"/>
      <c r="F96" s="2"/>
      <c r="G96" s="4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 spans="1:29" ht="12.8" customHeight="1" ns1:dyDescent="0.25">
      <c r="A97" s="1"/>
      <c r="B97" s="163" t="s">
        <v>66</v>
      </c>
      <c r="C97" s="2"/>
      <c r="D97" s="3"/>
      <c r="E97" s="2"/>
      <c r="F97" s="2"/>
      <c r="G97" s="4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 spans="1:29" ht="12.8" customHeight="1" ns1:dyDescent="0.25">
      <c r="A98" s="1"/>
      <c r="B98" s="163" t="s">
        <v>67</v>
      </c>
      <c r="C98" s="2"/>
      <c r="D98" s="3"/>
      <c r="E98" s="2"/>
      <c r="F98" s="2"/>
      <c r="G98" s="4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 spans="1:29" ht="12.8" customHeight="1" ns1:dyDescent="0.25">
      <c r="A99" s="1"/>
      <c r="B99" s="163" t="s">
        <v>68</v>
      </c>
      <c r="C99" s="2"/>
      <c r="D99" s="3"/>
      <c r="E99" s="2"/>
      <c r="F99" s="2"/>
      <c r="G99" s="4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 spans="1:29" ht="12.8" customHeight="1" ns1:dyDescent="0.25">
      <c r="A100" s="1"/>
      <c r="B100" s="2"/>
      <c r="C100" s="2"/>
      <c r="D100" s="3"/>
      <c r="E100" s="2"/>
      <c r="F100" s="2"/>
      <c r="G100" s="4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 spans="1:29" ht="12.8" customHeight="1" ns1:dyDescent="0.25">
      <c r="A101" s="1"/>
      <c r="B101" s="2" t="str">
        <f>IF(C93=0,"No Scanio/SeaAir Reimbursement",IF(C93&gt;0,"Scanio Owes Sea &amp; Air","Sea &amp; Air Owes Scanio"))</f>
      </c>
      <c r="C101" s="2"/>
      <c r="D101" s="3"/>
      <c r="E101" s="2"/>
      <c r="F101" s="74">
        <f>G88+G59+G42+G28</f>
        <v>0</v>
      </c>
      <c r="G101" s="4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 spans="1:29" ht="12.8" customHeight="1" ns1:dyDescent="0.25">
      <c r="A102" s="1"/>
      <c r="B102" s="2"/>
      <c r="C102" s="74"/>
      <c r="D102" s="3"/>
      <c r="E102" s="2"/>
      <c r="F102" s="2"/>
      <c r="G102" s="4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 spans="1:29" ht="12.8" customHeight="1" ns1:dyDescent="0.25">
      <c r="A103" s="1"/>
      <c r="B103" s="2"/>
      <c r="C103" s="74"/>
      <c r="D103" s="3"/>
      <c r="E103" s="2"/>
      <c r="F103" s="2"/>
      <c r="G103" s="129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 spans="1:29" ht="14.4" ns1:dyDescent="0.25"/>
    <row r="105" spans="1:29" ht="14.4" ns1:dyDescent="0.25"/>
    <row r="106" spans="1:29" ht="14.4" ns1:dyDescent="0.25"/>
    <row r="107" spans="1:29" ht="14.4" ns1:dyDescent="0.25"/>
    <row r="108" spans="1:29" ht="14.4" ns1:dyDescent="0.25"/>
    <row r="109" spans="1:29" ht="14.4" ns1:dyDescent="0.25"/>
    <row r="110" spans="1:29" ht="14.4" ns1:dyDescent="0.25"/>
    <row r="111" spans="1:29" ht="14.4" ns1:dyDescent="0.25"/>
    <row r="112" spans="1:29" ht="14.4" ns1:dyDescent="0.25"/>
    <row r="113" ht="14.4" ns1:dyDescent="0.25"/>
    <row r="114" ht="14.4" ns1:dyDescent="0.25"/>
    <row r="115" ht="14.4" ns1:dyDescent="0.25"/>
    <row r="116" ht="14.4" ns1:dyDescent="0.25"/>
    <row r="117" ht="14.4" ns1:dyDescent="0.25"/>
    <row r="118" ht="14.4" ns1:dyDescent="0.25"/>
    <row r="119" ht="14.4" ns1:dyDescent="0.25"/>
    <row r="120" ht="14.4" ns1:dyDescent="0.25"/>
    <row r="121" ht="14.4" ns1:dyDescent="0.25"/>
    <row r="122" ht="14.4" ns1:dyDescent="0.25"/>
    <row r="123" ht="14.4" ns1:dyDescent="0.25"/>
    <row r="124" ht="14.4" ns1:dyDescent="0.25"/>
    <row r="125" ht="14.4" ns1:dyDescent="0.25"/>
    <row r="126" ht="14.4" ns1:dyDescent="0.25"/>
    <row r="127" ht="14.4" ns1:dyDescent="0.25"/>
    <row r="128" ht="14.4" ns1:dyDescent="0.25"/>
    <row r="129" ht="14.4" ns1:dyDescent="0.25"/>
    <row r="130" ht="14.4" ns1:dyDescent="0.25"/>
    <row r="131" ht="14.4" ns1:dyDescent="0.25"/>
    <row r="132" ht="14.4" ns1:dyDescent="0.25"/>
    <row r="133" ht="14.4" ns1:dyDescent="0.25"/>
    <row r="134" ht="14.4" ns1:dyDescent="0.25"/>
    <row r="135" ht="14.4" ns1:dyDescent="0.25"/>
    <row r="136" ht="14.4" ns1:dyDescent="0.25"/>
    <row r="137" ht="14.4" ns1:dyDescent="0.25"/>
    <row r="138" ht="14.4" ns1:dyDescent="0.25"/>
    <row r="139" ht="14.4" ns1:dyDescent="0.25"/>
    <row r="140" ht="14.4" ns1:dyDescent="0.25"/>
    <row r="141" ht="14.4" ns1:dyDescent="0.25"/>
    <row r="142" ht="14.4" ns1:dyDescent="0.25"/>
    <row r="143" ht="14.4" ns1:dyDescent="0.25"/>
    <row r="144" ht="14.4" ns1:dyDescent="0.25"/>
    <row r="145" ht="14.4" ns1:dyDescent="0.25"/>
    <row r="146" ht="14.4" ns1:dyDescent="0.25"/>
    <row r="147" ht="14.4" ns1:dyDescent="0.25"/>
    <row r="148" ht="14.4" ns1:dyDescent="0.25"/>
    <row r="149" ht="14.4" ns1:dyDescent="0.25"/>
    <row r="150" ht="14.4" ns1:dyDescent="0.25"/>
    <row r="151" ht="14.4" ns1:dyDescent="0.25"/>
    <row r="152" ht="14.4" ns1:dyDescent="0.25"/>
    <row r="153" ht="14.4" ns1:dyDescent="0.25"/>
    <row r="154" ht="14.4" ns1:dyDescent="0.25"/>
    <row r="155" ht="14.4" ns1:dyDescent="0.25"/>
    <row r="156" ht="14.4" ns1:dyDescent="0.25"/>
    <row r="157" ht="14.4" ns1:dyDescent="0.25"/>
    <row r="158" ht="14.4" ns1:dyDescent="0.25"/>
    <row r="159" ht="14.4" ns1:dyDescent="0.25"/>
    <row r="160" ht="14.4" ns1:dyDescent="0.25"/>
    <row r="161" ht="14.4" ns1:dyDescent="0.25"/>
    <row r="162" ht="14.4" ns1:dyDescent="0.25"/>
    <row r="163" ht="14.4" ns1:dyDescent="0.25"/>
    <row r="164" ht="14.4" ns1:dyDescent="0.25"/>
    <row r="165" ht="14.4" ns1:dyDescent="0.25"/>
    <row r="166" ht="14.4" ns1:dyDescent="0.25"/>
    <row r="167" ht="14.4" ns1:dyDescent="0.25"/>
    <row r="168" ht="14.4" ns1:dyDescent="0.25"/>
    <row r="169" ht="14.4" ns1:dyDescent="0.25"/>
    <row r="170" ht="14.4" ns1:dyDescent="0.25"/>
    <row r="171" ht="14.4" ns1:dyDescent="0.25"/>
    <row r="172" ht="14.4" ns1:dyDescent="0.25"/>
    <row r="173" ht="14.4" ns1:dyDescent="0.25"/>
    <row r="174" ht="14.4" ns1:dyDescent="0.25"/>
    <row r="175" ht="14.4" ns1:dyDescent="0.25"/>
    <row r="176" ht="14.4" ns1:dyDescent="0.25"/>
    <row r="177" ht="14.4" ns1:dyDescent="0.25"/>
    <row r="178" ht="14.4" ns1:dyDescent="0.25"/>
    <row r="179" ht="14.4" ns1:dyDescent="0.25"/>
    <row r="180" ht="14.4" ns1:dyDescent="0.25"/>
    <row r="181" ht="14.4" ns1:dyDescent="0.25"/>
    <row r="182" ht="14.4" ns1:dyDescent="0.25"/>
    <row r="183" ht="14.4" ns1:dyDescent="0.25"/>
    <row r="184" ht="14.4" ns1:dyDescent="0.25"/>
    <row r="185" ht="14.4" ns1:dyDescent="0.25"/>
    <row r="186" ht="14.4" ns1:dyDescent="0.25"/>
    <row r="187" ht="14.4" ns1:dyDescent="0.25"/>
    <row r="188" ht="14.4" ns1:dyDescent="0.25"/>
    <row r="189" ht="14.4" ns1:dyDescent="0.25"/>
    <row r="190" ht="14.4" ns1:dyDescent="0.25"/>
    <row r="191" ht="14.4" ns1:dyDescent="0.25"/>
    <row r="192" ht="14.4" ns1:dyDescent="0.25"/>
    <row r="193" ht="14.4" ns1:dyDescent="0.25"/>
    <row r="194" ht="14.4" ns1:dyDescent="0.25"/>
    <row r="195" ht="14.4" ns1:dyDescent="0.25"/>
    <row r="196" ht="14.4" ns1:dyDescent="0.25"/>
    <row r="197" ht="14.4" ns1:dyDescent="0.25"/>
    <row r="198" ht="14.4" ns1:dyDescent="0.25"/>
    <row r="199" ht="14.4" ns1:dyDescent="0.25"/>
    <row r="200" ht="14.4" ns1:dyDescent="0.25"/>
    <row r="201" ht="14.4" ns1:dyDescent="0.25"/>
    <row r="202" ht="14.4" ns1:dyDescent="0.25"/>
    <row r="203" ht="14.4" ns1:dyDescent="0.25"/>
    <row r="204" ht="14.4" ns1:dyDescent="0.25"/>
    <row r="205" ht="14.4" ns1:dyDescent="0.25"/>
    <row r="206" ht="14.4" ns1:dyDescent="0.25"/>
    <row r="207" ht="14.4" ns1:dyDescent="0.25"/>
    <row r="208" ht="14.4" ns1:dyDescent="0.25"/>
    <row r="209" ht="14.4" ns1:dyDescent="0.25"/>
    <row r="210" ht="14.4" ns1:dyDescent="0.25"/>
    <row r="211" ht="14.4" ns1:dyDescent="0.25"/>
    <row r="212" ht="14.4" ns1:dyDescent="0.25"/>
    <row r="213" ht="14.4" ns1:dyDescent="0.25"/>
    <row r="214" ht="14.4" ns1:dyDescent="0.25"/>
    <row r="215" ht="14.4" ns1:dyDescent="0.25"/>
    <row r="216" ht="14.4" ns1:dyDescent="0.25"/>
    <row r="217" ht="14.4" ns1:dyDescent="0.25"/>
    <row r="218" ht="14.4" ns1:dyDescent="0.25"/>
    <row r="219" ht="14.4" ns1:dyDescent="0.25"/>
    <row r="220" ht="14.4" ns1:dyDescent="0.25"/>
    <row r="221" ht="14.4" ns1:dyDescent="0.25"/>
    <row r="222" ht="14.4" ns1:dyDescent="0.25"/>
    <row r="223" ht="14.4" ns1:dyDescent="0.25"/>
    <row r="224" ht="14.4" ns1:dyDescent="0.25"/>
    <row r="225" ht="14.4" ns1:dyDescent="0.25"/>
    <row r="226" ht="14.4" ns1:dyDescent="0.25"/>
    <row r="227" ht="14.4" ns1:dyDescent="0.25"/>
    <row r="228" ht="14.4" ns1:dyDescent="0.25"/>
    <row r="229" ht="14.4" ns1:dyDescent="0.25"/>
    <row r="230" ht="14.4" ns1:dyDescent="0.25"/>
    <row r="231" ht="14.4" ns1:dyDescent="0.25"/>
    <row r="232" ht="14.4" ns1:dyDescent="0.25"/>
    <row r="233" ht="14.4" ns1:dyDescent="0.25"/>
    <row r="234" ht="14.4" ns1:dyDescent="0.25"/>
    <row r="235" ht="14.4" ns1:dyDescent="0.25"/>
    <row r="236" ht="14.4" ns1:dyDescent="0.25"/>
    <row r="237" ht="14.4" ns1:dyDescent="0.25"/>
    <row r="238" ht="14.4" ns1:dyDescent="0.25"/>
    <row r="239" ht="14.4" ns1:dyDescent="0.25"/>
    <row r="240" ht="14.4" ns1:dyDescent="0.25"/>
    <row r="241" ht="14.4" ns1:dyDescent="0.25"/>
    <row r="242" ht="14.4" ns1:dyDescent="0.25"/>
    <row r="243" ht="14.4" ns1:dyDescent="0.25"/>
    <row r="244" ht="14.4" ns1:dyDescent="0.25"/>
    <row r="245" ht="14.4" ns1:dyDescent="0.25"/>
    <row r="246" ht="14.4" ns1:dyDescent="0.25"/>
    <row r="247" ht="14.4" ns1:dyDescent="0.25"/>
    <row r="248" ht="14.4" ns1:dyDescent="0.25"/>
    <row r="249" ht="14.4" ns1:dyDescent="0.25"/>
    <row r="250" ht="14.4" ns1:dyDescent="0.25"/>
    <row r="251" ht="14.4" ns1:dyDescent="0.25"/>
    <row r="252" ht="14.4" ns1:dyDescent="0.25"/>
    <row r="253" ht="14.4" ns1:dyDescent="0.25"/>
    <row r="254" ht="14.4" ns1:dyDescent="0.25"/>
    <row r="255" ht="14.4" ns1:dyDescent="0.25"/>
    <row r="256" ht="14.4" ns1:dyDescent="0.25"/>
    <row r="257" ht="14.4" ns1:dyDescent="0.25"/>
    <row r="258" ht="14.4" ns1:dyDescent="0.25"/>
    <row r="259" ht="14.4" ns1:dyDescent="0.25"/>
    <row r="260" ht="14.4" ns1:dyDescent="0.25"/>
    <row r="261" ht="14.4" ns1:dyDescent="0.25"/>
    <row r="262" ht="14.4" ns1:dyDescent="0.25"/>
    <row r="263" ht="14.4" ns1:dyDescent="0.25"/>
    <row r="264" ht="14.4" ns1:dyDescent="0.25"/>
    <row r="265" ht="14.4" ns1:dyDescent="0.25"/>
    <row r="266" ht="14.4" ns1:dyDescent="0.25"/>
    <row r="267" ht="14.4" ns1:dyDescent="0.25"/>
    <row r="268" ht="14.4" ns1:dyDescent="0.25"/>
    <row r="269" ht="14.4" ns1:dyDescent="0.25"/>
    <row r="270" ht="14.4" ns1:dyDescent="0.25"/>
    <row r="271" ht="14.4" ns1:dyDescent="0.25"/>
    <row r="272" ht="14.4" ns1:dyDescent="0.25"/>
    <row r="273" ht="14.4" ns1:dyDescent="0.25"/>
    <row r="274" ht="14.4" ns1:dyDescent="0.25"/>
    <row r="275" ht="14.4" ns1:dyDescent="0.25"/>
    <row r="276" ht="14.4" ns1:dyDescent="0.25"/>
    <row r="277" ht="14.4" ns1:dyDescent="0.25"/>
    <row r="278" ht="14.4" ns1:dyDescent="0.25"/>
    <row r="279" ht="14.4" ns1:dyDescent="0.25"/>
    <row r="280" ht="14.4" ns1:dyDescent="0.25"/>
    <row r="281" ht="14.4" ns1:dyDescent="0.25"/>
    <row r="282" ht="14.4" ns1:dyDescent="0.25"/>
    <row r="283" ht="14.4" ns1:dyDescent="0.25"/>
    <row r="284" ht="14.4" ns1:dyDescent="0.25"/>
    <row r="285" ht="14.4" ns1:dyDescent="0.25"/>
    <row r="286" ht="14.4" ns1:dyDescent="0.25"/>
    <row r="287" ht="14.4" ns1:dyDescent="0.25"/>
    <row r="288" ht="14.4" ns1:dyDescent="0.25"/>
    <row r="289" ht="14.4" ns1:dyDescent="0.25"/>
    <row r="290" ht="14.4" ns1:dyDescent="0.25"/>
    <row r="291" ht="14.4" ns1:dyDescent="0.25"/>
    <row r="292" ht="14.4" ns1:dyDescent="0.25"/>
    <row r="293" ht="14.4" ns1:dyDescent="0.25"/>
    <row r="294" ht="14.4" ns1:dyDescent="0.25"/>
    <row r="295" ht="14.4" ns1:dyDescent="0.25"/>
    <row r="296" ht="14.4" ns1:dyDescent="0.25"/>
    <row r="297" ht="14.4" ns1:dyDescent="0.25"/>
    <row r="298" ht="14.4" ns1:dyDescent="0.25"/>
    <row r="299" ht="14.4" ns1:dyDescent="0.25"/>
    <row r="300" ht="14.4" ns1:dyDescent="0.25"/>
    <row r="301" ht="14.4" ns1:dyDescent="0.25"/>
    <row r="302" ht="14.4" ns1:dyDescent="0.25"/>
    <row r="303" ht="14.4" ns1:dyDescent="0.25"/>
    <row r="304" ht="14.4" ns1:dyDescent="0.25"/>
    <row r="305" ht="14.4" ns1:dyDescent="0.25"/>
    <row r="306" ht="14.4" ns1:dyDescent="0.25"/>
    <row r="307" ht="14.4" ns1:dyDescent="0.25"/>
    <row r="308" ht="14.4" ns1:dyDescent="0.25"/>
    <row r="309" ht="14.4" ns1:dyDescent="0.25"/>
    <row r="310" ht="14.4" ns1:dyDescent="0.25"/>
    <row r="311" ht="14.4" ns1:dyDescent="0.25"/>
    <row r="312" ht="14.4" ns1:dyDescent="0.25"/>
    <row r="313" ht="14.4" ns1:dyDescent="0.25"/>
    <row r="314" ht="14.4" ns1:dyDescent="0.25"/>
    <row r="315" ht="14.4" ns1:dyDescent="0.25"/>
    <row r="316" ht="14.4" ns1:dyDescent="0.25"/>
    <row r="317" ht="14.4" ns1:dyDescent="0.25"/>
    <row r="318" ht="14.4" ns1:dyDescent="0.25"/>
    <row r="319" ht="14.4" ns1:dyDescent="0.25"/>
    <row r="320" ht="14.4" ns1:dyDescent="0.25"/>
    <row r="321" ht="14.4" ns1:dyDescent="0.25"/>
    <row r="322" ht="14.4" ns1:dyDescent="0.25"/>
    <row r="323" ht="14.4" ns1:dyDescent="0.25"/>
    <row r="324" ht="14.4" ns1:dyDescent="0.25"/>
    <row r="325" ht="14.4" ns1:dyDescent="0.25"/>
    <row r="326" ht="14.4" ns1:dyDescent="0.25"/>
    <row r="327" ht="14.4" ns1:dyDescent="0.25"/>
    <row r="328" ht="14.4" ns1:dyDescent="0.25"/>
    <row r="329" ht="14.4" ns1:dyDescent="0.25"/>
    <row r="330" ht="14.4" ns1:dyDescent="0.25"/>
    <row r="331" ht="14.4" ns1:dyDescent="0.25"/>
    <row r="332" ht="14.4" ns1:dyDescent="0.25"/>
    <row r="333" ht="14.4" ns1:dyDescent="0.25"/>
    <row r="334" ht="14.4" ns1:dyDescent="0.25"/>
    <row r="335" ht="14.4" ns1:dyDescent="0.25"/>
    <row r="336" ht="14.4" ns1:dyDescent="0.25"/>
    <row r="337" ht="14.4" ns1:dyDescent="0.25"/>
    <row r="338" ht="14.4" ns1:dyDescent="0.25"/>
    <row r="339" ht="14.4" ns1:dyDescent="0.25"/>
    <row r="340" ht="14.4" ns1:dyDescent="0.25"/>
    <row r="341" ht="14.4" ns1:dyDescent="0.25"/>
    <row r="342" ht="14.4" ns1:dyDescent="0.25"/>
    <row r="343" ht="14.4" ns1:dyDescent="0.25"/>
    <row r="344" ht="14.4" ns1:dyDescent="0.25"/>
    <row r="345" ht="14.4" ns1:dyDescent="0.25"/>
    <row r="346" ht="14.4" ns1:dyDescent="0.25"/>
    <row r="347" ht="14.4" ns1:dyDescent="0.25"/>
    <row r="348" ht="14.4" ns1:dyDescent="0.25"/>
    <row r="349" ht="14.4" ns1:dyDescent="0.25"/>
    <row r="350" ht="14.4" ns1:dyDescent="0.25"/>
    <row r="351" ht="14.4" ns1:dyDescent="0.25"/>
    <row r="352" ht="14.4" ns1:dyDescent="0.25"/>
    <row r="353" ht="14.4" ns1:dyDescent="0.25"/>
    <row r="354" ht="14.4" ns1:dyDescent="0.25"/>
    <row r="355" ht="14.4" ns1:dyDescent="0.25"/>
    <row r="356" ht="14.4" ns1:dyDescent="0.25"/>
    <row r="357" ht="14.4" ns1:dyDescent="0.25"/>
    <row r="358" ht="14.4" ns1:dyDescent="0.25"/>
    <row r="359" ht="14.4" ns1:dyDescent="0.25"/>
    <row r="360" ht="14.4" ns1:dyDescent="0.25"/>
    <row r="361" ht="14.4" ns1:dyDescent="0.25"/>
    <row r="362" ht="14.4" ns1:dyDescent="0.25"/>
    <row r="363" ht="14.4" ns1:dyDescent="0.25"/>
    <row r="364" ht="14.4" ns1:dyDescent="0.25"/>
    <row r="365" ht="14.4" ns1:dyDescent="0.25"/>
    <row r="366" ht="14.4" ns1:dyDescent="0.25"/>
    <row r="367" ht="14.4" ns1:dyDescent="0.25"/>
    <row r="368" ht="14.4" ns1:dyDescent="0.25"/>
    <row r="369" ht="14.4" ns1:dyDescent="0.25"/>
    <row r="370" ht="14.4" ns1:dyDescent="0.25"/>
    <row r="371" ht="14.4" ns1:dyDescent="0.25"/>
    <row r="372" ht="14.4" ns1:dyDescent="0.25"/>
    <row r="373" ht="14.4" ns1:dyDescent="0.25"/>
    <row r="374" ht="14.4" ns1:dyDescent="0.25"/>
    <row r="375" ht="14.4" ns1:dyDescent="0.25"/>
    <row r="376" ht="14.4" ns1:dyDescent="0.25"/>
    <row r="377" ht="14.4" ns1:dyDescent="0.25"/>
    <row r="378" ht="14.4" ns1:dyDescent="0.25"/>
    <row r="379" ht="14.4" ns1:dyDescent="0.25"/>
    <row r="380" ht="14.4" ns1:dyDescent="0.25"/>
    <row r="381" ht="14.4" ns1:dyDescent="0.25"/>
    <row r="382" ht="14.4" ns1:dyDescent="0.25"/>
    <row r="383" ht="14.4" ns1:dyDescent="0.25"/>
    <row r="384" ht="14.4" ns1:dyDescent="0.25"/>
    <row r="385" ht="14.4" ns1:dyDescent="0.25"/>
    <row r="386" ht="14.4" ns1:dyDescent="0.25"/>
    <row r="387" ht="14.4" ns1:dyDescent="0.25"/>
    <row r="388" ht="14.4" ns1:dyDescent="0.25"/>
    <row r="389" ht="14.4" ns1:dyDescent="0.25"/>
    <row r="390" ht="14.4" ns1:dyDescent="0.25"/>
    <row r="391" ht="14.4" ns1:dyDescent="0.25"/>
    <row r="392" ht="14.4" ns1:dyDescent="0.25"/>
    <row r="393" ht="14.4" ns1:dyDescent="0.25"/>
    <row r="394" ht="14.4" ns1:dyDescent="0.25"/>
    <row r="395" ht="14.4" ns1:dyDescent="0.25"/>
    <row r="396" ht="14.4" ns1:dyDescent="0.25"/>
    <row r="397" ht="14.4" ns1:dyDescent="0.25"/>
    <row r="398" ht="14.4" ns1:dyDescent="0.25"/>
    <row r="399" ht="14.4" ns1:dyDescent="0.25"/>
    <row r="400" ht="14.4" ns1:dyDescent="0.25"/>
    <row r="401" ht="14.4" ns1:dyDescent="0.25"/>
    <row r="402" ht="14.4" ns1:dyDescent="0.25"/>
    <row r="403" ht="14.4" ns1:dyDescent="0.25"/>
    <row r="404" ht="14.4" ns1:dyDescent="0.25"/>
    <row r="405" ht="14.4" ns1:dyDescent="0.25"/>
    <row r="406" ht="14.4" ns1:dyDescent="0.25"/>
    <row r="407" ht="14.4" ns1:dyDescent="0.25"/>
    <row r="408" ht="14.4" ns1:dyDescent="0.25"/>
    <row r="409" ht="14.4" ns1:dyDescent="0.25"/>
    <row r="410" ht="14.4" ns1:dyDescent="0.25"/>
    <row r="411" ht="14.4" ns1:dyDescent="0.25"/>
    <row r="412" ht="14.4" ns1:dyDescent="0.25"/>
    <row r="413" ht="14.4" ns1:dyDescent="0.25"/>
    <row r="414" ht="14.4" ns1:dyDescent="0.25"/>
    <row r="415" ht="14.4" ns1:dyDescent="0.25"/>
    <row r="416" ht="14.4" ns1:dyDescent="0.25"/>
    <row r="417" ht="14.4" ns1:dyDescent="0.25"/>
    <row r="418" ht="14.4" ns1:dyDescent="0.25"/>
    <row r="419" ht="14.4" ns1:dyDescent="0.25"/>
    <row r="420" ht="14.4" ns1:dyDescent="0.25"/>
    <row r="421" ht="14.4" ns1:dyDescent="0.25"/>
    <row r="422" ht="14.4" ns1:dyDescent="0.25"/>
    <row r="423" ht="14.4" ns1:dyDescent="0.25"/>
    <row r="424" ht="14.4" ns1:dyDescent="0.25"/>
    <row r="425" ht="14.4" ns1:dyDescent="0.25"/>
    <row r="426" ht="14.4" ns1:dyDescent="0.25"/>
    <row r="427" ht="14.4" ns1:dyDescent="0.25"/>
    <row r="428" ht="14.4" ns1:dyDescent="0.25"/>
    <row r="429" ht="14.4" ns1:dyDescent="0.25"/>
    <row r="430" ht="14.4" ns1:dyDescent="0.25"/>
    <row r="431" ht="14.4" ns1:dyDescent="0.25"/>
    <row r="432" ht="14.4" ns1:dyDescent="0.25"/>
    <row r="433" ht="14.4" ns1:dyDescent="0.25"/>
    <row r="434" ht="14.4" ns1:dyDescent="0.25"/>
    <row r="435" ht="14.4" ns1:dyDescent="0.25"/>
    <row r="436" ht="14.4" ns1:dyDescent="0.25"/>
    <row r="437" ht="14.4" ns1:dyDescent="0.25"/>
    <row r="438" ht="14.4" ns1:dyDescent="0.25"/>
    <row r="439" ht="14.4" ns1:dyDescent="0.25"/>
    <row r="440" ht="14.4" ns1:dyDescent="0.25"/>
    <row r="441" ht="14.4" ns1:dyDescent="0.25"/>
    <row r="442" ht="14.4" ns1:dyDescent="0.25"/>
    <row r="443" ht="14.4" ns1:dyDescent="0.25"/>
    <row r="444" ht="14.4" ns1:dyDescent="0.25"/>
    <row r="445" ht="14.4" ns1:dyDescent="0.25"/>
    <row r="446" ht="14.4" ns1:dyDescent="0.25"/>
    <row r="447" ht="14.4" ns1:dyDescent="0.25"/>
    <row r="448" ht="14.4" ns1:dyDescent="0.25"/>
    <row r="449" ht="14.4" ns1:dyDescent="0.25"/>
    <row r="450" ht="14.4" ns1:dyDescent="0.25"/>
    <row r="451" ht="14.4" ns1:dyDescent="0.25"/>
    <row r="452" ht="14.4" ns1:dyDescent="0.25"/>
    <row r="453" ht="14.4" ns1:dyDescent="0.25"/>
    <row r="454" ht="14.4" ns1:dyDescent="0.25"/>
    <row r="455" ht="14.4" ns1:dyDescent="0.25"/>
    <row r="456" ht="14.4" ns1:dyDescent="0.25"/>
    <row r="457" ht="14.4" ns1:dyDescent="0.25"/>
    <row r="458" ht="14.4" ns1:dyDescent="0.25"/>
    <row r="459" ht="14.4" ns1:dyDescent="0.25"/>
    <row r="460" ht="14.4" ns1:dyDescent="0.25"/>
    <row r="461" ht="14.4" ns1:dyDescent="0.25"/>
    <row r="462" ht="14.4" ns1:dyDescent="0.25"/>
    <row r="463" ht="14.4" ns1:dyDescent="0.25"/>
    <row r="464" ht="14.4" ns1:dyDescent="0.25"/>
    <row r="465" ht="14.4" ns1:dyDescent="0.25"/>
    <row r="466" ht="14.4" ns1:dyDescent="0.25"/>
    <row r="467" ht="14.4" ns1:dyDescent="0.25"/>
    <row r="468" ht="14.4" ns1:dyDescent="0.25"/>
    <row r="469" ht="14.4" ns1:dyDescent="0.25"/>
    <row r="470" ht="14.4" ns1:dyDescent="0.25"/>
    <row r="471" ht="14.4" ns1:dyDescent="0.25"/>
    <row r="472" ht="14.4" ns1:dyDescent="0.25"/>
    <row r="473" ht="14.4" ns1:dyDescent="0.25"/>
    <row r="474" ht="14.4" ns1:dyDescent="0.25"/>
    <row r="475" ht="14.4" ns1:dyDescent="0.25"/>
    <row r="476" ht="14.4" ns1:dyDescent="0.25"/>
    <row r="477" ht="14.4" ns1:dyDescent="0.25"/>
    <row r="478" ht="14.4" ns1:dyDescent="0.25"/>
    <row r="479" ht="14.4" ns1:dyDescent="0.25"/>
    <row r="480" ht="14.4" ns1:dyDescent="0.25"/>
    <row r="481" ht="14.4" ns1:dyDescent="0.25"/>
    <row r="482" ht="14.4" ns1:dyDescent="0.25"/>
    <row r="483" ht="14.4" ns1:dyDescent="0.25"/>
    <row r="484" ht="14.4" ns1:dyDescent="0.25"/>
    <row r="485" ht="14.4" ns1:dyDescent="0.25"/>
    <row r="486" ht="14.4" ns1:dyDescent="0.25"/>
    <row r="487" ht="14.4" ns1:dyDescent="0.25"/>
    <row r="488" ht="14.4" ns1:dyDescent="0.25"/>
    <row r="489" ht="14.4" ns1:dyDescent="0.25"/>
    <row r="490" ht="14.4" ns1:dyDescent="0.25"/>
    <row r="491" ht="14.4" ns1:dyDescent="0.25"/>
    <row r="492" ht="14.4" ns1:dyDescent="0.25"/>
    <row r="493" ht="14.4" ns1:dyDescent="0.25"/>
    <row r="494" ht="14.4" ns1:dyDescent="0.25"/>
    <row r="495" ht="14.4" ns1:dyDescent="0.25"/>
    <row r="496" ht="14.4" ns1:dyDescent="0.25"/>
    <row r="497" ht="14.4" ns1:dyDescent="0.25"/>
    <row r="498" ht="14.4" ns1:dyDescent="0.25"/>
    <row r="499" ht="14.4" ns1:dyDescent="0.25"/>
    <row r="500" ht="14.4" ns1:dyDescent="0.25"/>
    <row r="501" ht="14.4" ns1:dyDescent="0.25"/>
    <row r="502" ht="14.4" ns1:dyDescent="0.25"/>
    <row r="503" ht="14.4" ns1:dyDescent="0.25"/>
    <row r="504" ht="14.4" ns1:dyDescent="0.25"/>
    <row r="505" ht="14.4" ns1:dyDescent="0.25"/>
    <row r="506" ht="14.4" ns1:dyDescent="0.25"/>
    <row r="507" ht="14.4" ns1:dyDescent="0.25"/>
    <row r="508" ht="14.4" ns1:dyDescent="0.25"/>
    <row r="509" ht="14.4" ns1:dyDescent="0.25"/>
    <row r="510" ht="14.4" ns1:dyDescent="0.25"/>
    <row r="511" ht="14.4" ns1:dyDescent="0.25"/>
    <row r="512" ht="14.4" ns1:dyDescent="0.25"/>
    <row r="513" ht="14.4" ns1:dyDescent="0.25"/>
    <row r="514" ht="14.4" ns1:dyDescent="0.25"/>
    <row r="515" ht="14.4" ns1:dyDescent="0.25"/>
    <row r="516" ht="14.4" ns1:dyDescent="0.25"/>
    <row r="517" ht="14.4" ns1:dyDescent="0.25"/>
    <row r="518" ht="14.4" ns1:dyDescent="0.25"/>
    <row r="519" ht="14.4" ns1:dyDescent="0.25"/>
    <row r="520" ht="14.4" ns1:dyDescent="0.25"/>
    <row r="521" ht="14.4" ns1:dyDescent="0.25"/>
    <row r="522" ht="14.4" ns1:dyDescent="0.25"/>
    <row r="523" ht="14.4" ns1:dyDescent="0.25"/>
    <row r="524" ht="14.4" ns1:dyDescent="0.25"/>
    <row r="525" ht="14.4" ns1:dyDescent="0.25"/>
    <row r="526" ht="14.4" ns1:dyDescent="0.25"/>
    <row r="527" ht="14.4" ns1:dyDescent="0.25"/>
    <row r="528" ht="14.4" ns1:dyDescent="0.25"/>
    <row r="529" ht="14.4" ns1:dyDescent="0.25"/>
    <row r="530" ht="14.4" ns1:dyDescent="0.25"/>
    <row r="531" ht="14.4" ns1:dyDescent="0.25"/>
    <row r="532" ht="14.4" ns1:dyDescent="0.25"/>
    <row r="533" ht="14.4" ns1:dyDescent="0.25"/>
    <row r="534" ht="14.4" ns1:dyDescent="0.25"/>
    <row r="535" ht="14.4" ns1:dyDescent="0.25"/>
    <row r="536" ht="14.4" ns1:dyDescent="0.25"/>
    <row r="537" ht="14.4" ns1:dyDescent="0.25"/>
    <row r="538" ht="14.4" ns1:dyDescent="0.25"/>
    <row r="539" ht="14.4" ns1:dyDescent="0.25"/>
    <row r="540" ht="14.4" ns1:dyDescent="0.25"/>
    <row r="541" ht="14.4" ns1:dyDescent="0.25"/>
    <row r="542" ht="14.4" ns1:dyDescent="0.25"/>
    <row r="543" ht="14.4" ns1:dyDescent="0.25"/>
    <row r="544" ht="14.4" ns1:dyDescent="0.25"/>
    <row r="545" ht="14.4" ns1:dyDescent="0.25"/>
    <row r="546" ht="14.4" ns1:dyDescent="0.25"/>
    <row r="547" ht="14.4" ns1:dyDescent="0.25"/>
    <row r="548" ht="14.4" ns1:dyDescent="0.25"/>
    <row r="549" ht="14.4" ns1:dyDescent="0.25"/>
    <row r="550" ht="14.4" ns1:dyDescent="0.25"/>
    <row r="551" ht="14.4" ns1:dyDescent="0.25"/>
    <row r="552" ht="14.4" ns1:dyDescent="0.25"/>
    <row r="553" ht="14.4" ns1:dyDescent="0.25"/>
    <row r="554" ht="14.4" ns1:dyDescent="0.25"/>
    <row r="555" ht="14.4" ns1:dyDescent="0.25"/>
    <row r="556" ht="14.4" ns1:dyDescent="0.25"/>
    <row r="557" ht="14.4" ns1:dyDescent="0.25"/>
    <row r="558" ht="14.4" ns1:dyDescent="0.25"/>
    <row r="559" ht="14.4" ns1:dyDescent="0.25"/>
    <row r="560" ht="14.4" ns1:dyDescent="0.25"/>
    <row r="561" ht="14.4" ns1:dyDescent="0.25"/>
    <row r="562" ht="14.4" ns1:dyDescent="0.25"/>
    <row r="563" ht="14.4" ns1:dyDescent="0.25"/>
    <row r="564" ht="14.4" ns1:dyDescent="0.25"/>
    <row r="565" ht="14.4" ns1:dyDescent="0.25"/>
    <row r="566" ht="14.4" ns1:dyDescent="0.25"/>
    <row r="567" ht="14.4" ns1:dyDescent="0.25"/>
    <row r="568" ht="14.4" ns1:dyDescent="0.25"/>
    <row r="569" ht="14.4" ns1:dyDescent="0.25"/>
    <row r="570" ht="14.4" ns1:dyDescent="0.25"/>
    <row r="571" ht="14.4" ns1:dyDescent="0.25"/>
    <row r="572" ht="14.4" ns1:dyDescent="0.25"/>
    <row r="573" ht="14.4" ns1:dyDescent="0.25"/>
    <row r="574" ht="14.4" ns1:dyDescent="0.25"/>
    <row r="575" ht="14.4" ns1:dyDescent="0.25"/>
    <row r="576" ht="14.4" ns1:dyDescent="0.25"/>
    <row r="577" ht="14.4" ns1:dyDescent="0.25"/>
    <row r="578" ht="14.4" ns1:dyDescent="0.25"/>
    <row r="579" ht="14.4" ns1:dyDescent="0.25"/>
    <row r="580" ht="14.4" ns1:dyDescent="0.25"/>
    <row r="581" ht="14.4" ns1:dyDescent="0.25"/>
    <row r="582" ht="14.4" ns1:dyDescent="0.25"/>
    <row r="583" ht="14.4" ns1:dyDescent="0.25"/>
    <row r="584" ht="14.4" ns1:dyDescent="0.25"/>
    <row r="585" ht="14.4" ns1:dyDescent="0.25"/>
    <row r="586" ht="14.4" ns1:dyDescent="0.25"/>
    <row r="587" ht="14.4" ns1:dyDescent="0.25"/>
    <row r="588" ht="14.4" ns1:dyDescent="0.25"/>
    <row r="589" ht="14.4" ns1:dyDescent="0.25"/>
    <row r="590" ht="14.4" ns1:dyDescent="0.25"/>
    <row r="591" ht="14.4" ns1:dyDescent="0.25"/>
    <row r="592" ht="14.4" ns1:dyDescent="0.25"/>
    <row r="593" ht="14.4" ns1:dyDescent="0.25"/>
    <row r="594" ht="14.4" ns1:dyDescent="0.25"/>
    <row r="595" ht="14.4" ns1:dyDescent="0.25"/>
    <row r="596" ht="14.4" ns1:dyDescent="0.25"/>
    <row r="597" ht="14.4" ns1:dyDescent="0.25"/>
    <row r="598" ht="14.4" ns1:dyDescent="0.25"/>
    <row r="599" ht="14.4" ns1:dyDescent="0.25"/>
    <row r="600" ht="14.4" ns1:dyDescent="0.25"/>
    <row r="601" ht="14.4" ns1:dyDescent="0.25"/>
    <row r="602" ht="14.4" ns1:dyDescent="0.25"/>
    <row r="603" ht="14.4" ns1:dyDescent="0.25"/>
    <row r="604" ht="14.4" ns1:dyDescent="0.25"/>
    <row r="605" ht="14.4" ns1:dyDescent="0.25"/>
    <row r="606" ht="14.4" ns1:dyDescent="0.25"/>
    <row r="607" ht="14.4" ns1:dyDescent="0.25"/>
    <row r="608" ht="14.4" ns1:dyDescent="0.25"/>
    <row r="609" ht="14.4" ns1:dyDescent="0.25"/>
    <row r="610" ht="14.4" ns1:dyDescent="0.25"/>
    <row r="611" ht="14.4" ns1:dyDescent="0.25"/>
    <row r="612" ht="14.4" ns1:dyDescent="0.25"/>
    <row r="613" ht="14.4" ns1:dyDescent="0.25"/>
    <row r="614" ht="14.4" ns1:dyDescent="0.25"/>
    <row r="615" ht="14.4" ns1:dyDescent="0.25"/>
    <row r="616" ht="14.4" ns1:dyDescent="0.25"/>
    <row r="617" ht="14.4" ns1:dyDescent="0.25"/>
    <row r="618" ht="14.4" ns1:dyDescent="0.25"/>
    <row r="619" ht="14.4" ns1:dyDescent="0.25"/>
    <row r="620" ht="14.4" ns1:dyDescent="0.25"/>
    <row r="621" ht="14.4" ns1:dyDescent="0.25"/>
    <row r="622" ht="14.4" ns1:dyDescent="0.25"/>
    <row r="623" ht="14.4" ns1:dyDescent="0.25"/>
    <row r="624" ht="14.4" ns1:dyDescent="0.25"/>
    <row r="625" ht="14.4" ns1:dyDescent="0.25"/>
    <row r="626" ht="14.4" ns1:dyDescent="0.25"/>
    <row r="627" ht="14.4" ns1:dyDescent="0.25"/>
    <row r="628" ht="14.4" ns1:dyDescent="0.25"/>
    <row r="629" ht="14.4" ns1:dyDescent="0.25"/>
    <row r="630" ht="14.4" ns1:dyDescent="0.25"/>
    <row r="631" ht="14.4" ns1:dyDescent="0.25"/>
    <row r="632" ht="14.4" ns1:dyDescent="0.25"/>
    <row r="633" ht="14.4" ns1:dyDescent="0.25"/>
    <row r="634" ht="14.4" ns1:dyDescent="0.25"/>
    <row r="635" ht="14.4" ns1:dyDescent="0.25"/>
    <row r="636" ht="14.4" ns1:dyDescent="0.25"/>
    <row r="637" ht="14.4" ns1:dyDescent="0.25"/>
    <row r="638" ht="14.4" ns1:dyDescent="0.25"/>
    <row r="639" ht="14.4" ns1:dyDescent="0.25"/>
    <row r="640" ht="14.4" ns1:dyDescent="0.25"/>
    <row r="641" ht="14.4" ns1:dyDescent="0.25"/>
    <row r="642" ht="14.4" ns1:dyDescent="0.25"/>
    <row r="643" ht="14.4" ns1:dyDescent="0.25"/>
    <row r="644" ht="14.4" ns1:dyDescent="0.25"/>
    <row r="645" ht="14.4" ns1:dyDescent="0.25"/>
    <row r="646" ht="14.4" ns1:dyDescent="0.25"/>
    <row r="647" ht="14.4" ns1:dyDescent="0.25"/>
    <row r="648" ht="14.4" ns1:dyDescent="0.25"/>
    <row r="649" ht="14.4" ns1:dyDescent="0.25"/>
    <row r="650" ht="14.4" ns1:dyDescent="0.25"/>
    <row r="651" ht="14.4" ns1:dyDescent="0.25"/>
    <row r="652" ht="14.4" ns1:dyDescent="0.25"/>
    <row r="653" ht="14.4" ns1:dyDescent="0.25"/>
    <row r="654" ht="14.4" ns1:dyDescent="0.25"/>
    <row r="655" ht="14.4" ns1:dyDescent="0.25"/>
    <row r="656" ht="14.4" ns1:dyDescent="0.25"/>
    <row r="657" ht="14.4" ns1:dyDescent="0.25"/>
    <row r="658" ht="14.4" ns1:dyDescent="0.25"/>
    <row r="659" ht="14.4" ns1:dyDescent="0.25"/>
    <row r="660" ht="14.4" ns1:dyDescent="0.25"/>
    <row r="661" ht="14.4" ns1:dyDescent="0.25"/>
    <row r="662" ht="14.4" ns1:dyDescent="0.25"/>
    <row r="663" ht="14.4" ns1:dyDescent="0.25"/>
    <row r="664" ht="14.4" ns1:dyDescent="0.25"/>
    <row r="665" ht="14.4" ns1:dyDescent="0.25"/>
    <row r="666" ht="14.4" ns1:dyDescent="0.25"/>
    <row r="667" ht="14.4" ns1:dyDescent="0.25"/>
    <row r="668" ht="14.4" ns1:dyDescent="0.25"/>
    <row r="669" ht="14.4" ns1:dyDescent="0.25"/>
    <row r="670" ht="14.4" ns1:dyDescent="0.25"/>
    <row r="671" ht="14.4" ns1:dyDescent="0.25"/>
    <row r="672" ht="14.4" ns1:dyDescent="0.25"/>
    <row r="673" ht="14.4" ns1:dyDescent="0.25"/>
    <row r="674" ht="14.4" ns1:dyDescent="0.25"/>
    <row r="675" ht="14.4" ns1:dyDescent="0.25"/>
    <row r="676" ht="14.4" ns1:dyDescent="0.25"/>
    <row r="677" ht="14.4" ns1:dyDescent="0.25"/>
    <row r="678" ht="14.4" ns1:dyDescent="0.25"/>
    <row r="679" ht="14.4" ns1:dyDescent="0.25"/>
    <row r="680" ht="14.4" ns1:dyDescent="0.25"/>
    <row r="681" ht="14.4" ns1:dyDescent="0.25"/>
    <row r="682" ht="14.4" ns1:dyDescent="0.25"/>
    <row r="683" ht="14.4" ns1:dyDescent="0.25"/>
    <row r="684" ht="14.4" ns1:dyDescent="0.25"/>
    <row r="685" ht="14.4" ns1:dyDescent="0.25"/>
    <row r="686" ht="14.4" ns1:dyDescent="0.25"/>
    <row r="687" ht="14.4" ns1:dyDescent="0.25"/>
    <row r="688" ht="14.4" ns1:dyDescent="0.25"/>
    <row r="689" ht="14.4" ns1:dyDescent="0.25"/>
    <row r="690" ht="14.4" ns1:dyDescent="0.25"/>
    <row r="691" ht="14.4" ns1:dyDescent="0.25"/>
    <row r="692" ht="14.4" ns1:dyDescent="0.25"/>
    <row r="693" ht="14.4" ns1:dyDescent="0.25"/>
    <row r="694" ht="14.4" ns1:dyDescent="0.25"/>
    <row r="695" ht="14.4" ns1:dyDescent="0.25"/>
    <row r="696" ht="14.4" ns1:dyDescent="0.25"/>
    <row r="697" ht="14.4" ns1:dyDescent="0.25"/>
    <row r="698" ht="14.4" ns1:dyDescent="0.25"/>
    <row r="699" ht="14.4" ns1:dyDescent="0.25"/>
    <row r="700" ht="14.4" ns1:dyDescent="0.25"/>
    <row r="701" ht="14.4" ns1:dyDescent="0.25"/>
    <row r="702" ht="14.4" ns1:dyDescent="0.25"/>
    <row r="703" ht="14.4" ns1:dyDescent="0.25"/>
    <row r="704" ht="14.4" ns1:dyDescent="0.25"/>
    <row r="705" ht="14.4" ns1:dyDescent="0.25"/>
    <row r="706" ht="14.4" ns1:dyDescent="0.25"/>
    <row r="707" ht="14.4" ns1:dyDescent="0.25"/>
    <row r="708" ht="14.4" ns1:dyDescent="0.25"/>
    <row r="709" ht="14.4" ns1:dyDescent="0.25"/>
    <row r="710" ht="14.4" ns1:dyDescent="0.25"/>
    <row r="711" ht="14.4" ns1:dyDescent="0.25"/>
    <row r="712" ht="14.4" ns1:dyDescent="0.25"/>
    <row r="713" ht="14.4" ns1:dyDescent="0.25"/>
    <row r="714" ht="14.4" ns1:dyDescent="0.25"/>
    <row r="715" ht="14.4" ns1:dyDescent="0.25"/>
    <row r="716" ht="14.4" ns1:dyDescent="0.25"/>
    <row r="717" ht="14.4" ns1:dyDescent="0.25"/>
    <row r="718" ht="14.4" ns1:dyDescent="0.25"/>
    <row r="719" ht="14.4" ns1:dyDescent="0.25"/>
    <row r="720" ht="14.4" ns1:dyDescent="0.25"/>
    <row r="721" ht="14.4" ns1:dyDescent="0.25"/>
    <row r="722" ht="14.4" ns1:dyDescent="0.25"/>
    <row r="723" ht="14.4" ns1:dyDescent="0.25"/>
    <row r="724" ht="14.4" ns1:dyDescent="0.25"/>
    <row r="725" ht="14.4" ns1:dyDescent="0.25"/>
    <row r="726" ht="14.4" ns1:dyDescent="0.25"/>
    <row r="727" ht="14.4" ns1:dyDescent="0.25"/>
    <row r="728" ht="14.4" ns1:dyDescent="0.25"/>
    <row r="729" ht="14.4" ns1:dyDescent="0.25"/>
    <row r="730" ht="14.4" ns1:dyDescent="0.25"/>
    <row r="731" ht="14.4" ns1:dyDescent="0.25"/>
    <row r="732" ht="14.4" ns1:dyDescent="0.25"/>
    <row r="733" ht="14.4" ns1:dyDescent="0.25"/>
    <row r="734" ht="14.4" ns1:dyDescent="0.25"/>
    <row r="735" ht="14.4" ns1:dyDescent="0.25"/>
    <row r="736" ht="14.4" ns1:dyDescent="0.25"/>
    <row r="737" ht="14.4" ns1:dyDescent="0.25"/>
    <row r="738" ht="14.4" ns1:dyDescent="0.25"/>
    <row r="739" ht="14.4" ns1:dyDescent="0.25"/>
    <row r="740" ht="14.4" ns1:dyDescent="0.25"/>
    <row r="741" ht="14.4" ns1:dyDescent="0.25"/>
    <row r="742" ht="14.4" ns1:dyDescent="0.25"/>
    <row r="743" ht="14.4" ns1:dyDescent="0.25"/>
    <row r="744" ht="14.4" ns1:dyDescent="0.25"/>
    <row r="745" ht="14.4" ns1:dyDescent="0.25"/>
    <row r="746" ht="14.4" ns1:dyDescent="0.25"/>
    <row r="747" ht="14.4" ns1:dyDescent="0.25"/>
    <row r="748" ht="14.4" ns1:dyDescent="0.25"/>
    <row r="749" ht="14.4" ns1:dyDescent="0.25"/>
    <row r="750" ht="14.4" ns1:dyDescent="0.25"/>
    <row r="751" ht="14.4" ns1:dyDescent="0.25"/>
    <row r="752" ht="14.4" ns1:dyDescent="0.25"/>
    <row r="753" ht="14.4" ns1:dyDescent="0.25"/>
    <row r="754" ht="14.4" ns1:dyDescent="0.25"/>
    <row r="755" ht="14.4" ns1:dyDescent="0.25"/>
    <row r="756" ht="14.4" ns1:dyDescent="0.25"/>
    <row r="757" ht="14.4" ns1:dyDescent="0.25"/>
    <row r="758" ht="14.4" ns1:dyDescent="0.25"/>
    <row r="759" ht="14.4" ns1:dyDescent="0.25"/>
    <row r="760" ht="14.4" ns1:dyDescent="0.25"/>
    <row r="761" ht="14.4" ns1:dyDescent="0.25"/>
    <row r="762" ht="14.4" ns1:dyDescent="0.25"/>
    <row r="763" ht="14.4" ns1:dyDescent="0.25"/>
    <row r="764" ht="14.4" ns1:dyDescent="0.25"/>
    <row r="765" ht="14.4" ns1:dyDescent="0.25"/>
    <row r="766" ht="14.4" ns1:dyDescent="0.25"/>
    <row r="767" ht="14.4" ns1:dyDescent="0.25"/>
    <row r="768" ht="14.4" ns1:dyDescent="0.25"/>
    <row r="769" ht="14.4" ns1:dyDescent="0.25"/>
    <row r="770" ht="14.4" ns1:dyDescent="0.25"/>
    <row r="771" ht="14.4" ns1:dyDescent="0.25"/>
    <row r="772" ht="14.4" ns1:dyDescent="0.25"/>
    <row r="773" ht="14.4" ns1:dyDescent="0.25"/>
    <row r="774" ht="14.4" ns1:dyDescent="0.25"/>
    <row r="775" ht="14.4" ns1:dyDescent="0.25"/>
    <row r="776" ht="14.4" ns1:dyDescent="0.25"/>
    <row r="777" ht="14.4" ns1:dyDescent="0.25"/>
    <row r="778" ht="14.4" ns1:dyDescent="0.25"/>
    <row r="779" ht="14.4" ns1:dyDescent="0.25"/>
    <row r="780" ht="14.4" ns1:dyDescent="0.25"/>
    <row r="781" ht="14.4" ns1:dyDescent="0.25"/>
    <row r="782" ht="14.4" ns1:dyDescent="0.25"/>
    <row r="783" ht="14.4" ns1:dyDescent="0.25"/>
    <row r="784" ht="14.4" ns1:dyDescent="0.25"/>
    <row r="785" ht="14.4" ns1:dyDescent="0.25"/>
    <row r="786" ht="14.4" ns1:dyDescent="0.25"/>
    <row r="787" ht="14.4" ns1:dyDescent="0.25"/>
    <row r="788" ht="14.4" ns1:dyDescent="0.25"/>
    <row r="789" ht="14.4" ns1:dyDescent="0.25"/>
    <row r="790" ht="14.4" ns1:dyDescent="0.25"/>
    <row r="791" ht="14.4" ns1:dyDescent="0.25"/>
    <row r="792" ht="14.4" ns1:dyDescent="0.25"/>
    <row r="793" ht="14.4" ns1:dyDescent="0.25"/>
    <row r="794" ht="14.4" ns1:dyDescent="0.25"/>
    <row r="795" ht="14.4" ns1:dyDescent="0.25"/>
    <row r="796" ht="14.4" ns1:dyDescent="0.25"/>
    <row r="797" ht="14.4" ns1:dyDescent="0.25"/>
    <row r="798" ht="14.4" ns1:dyDescent="0.25"/>
    <row r="799" ht="14.4" ns1:dyDescent="0.25"/>
    <row r="800" ht="14.4" ns1:dyDescent="0.25"/>
    <row r="801" ht="14.4" ns1:dyDescent="0.25"/>
    <row r="802" ht="14.4" ns1:dyDescent="0.25"/>
    <row r="803" ht="14.4" ns1:dyDescent="0.25"/>
    <row r="804" ht="14.4" ns1:dyDescent="0.25"/>
    <row r="805" ht="14.4" ns1:dyDescent="0.25"/>
    <row r="806" ht="14.4" ns1:dyDescent="0.25"/>
    <row r="807" ht="14.4" ns1:dyDescent="0.25"/>
    <row r="808" ht="14.4" ns1:dyDescent="0.25"/>
    <row r="809" ht="14.4" ns1:dyDescent="0.25"/>
    <row r="810" ht="14.4" ns1:dyDescent="0.25"/>
    <row r="811" ht="14.4" ns1:dyDescent="0.25"/>
    <row r="812" ht="14.4" ns1:dyDescent="0.25"/>
    <row r="813" ht="14.4" ns1:dyDescent="0.25"/>
    <row r="814" ht="14.4" ns1:dyDescent="0.25"/>
    <row r="815" ht="14.4" ns1:dyDescent="0.25"/>
    <row r="816" ht="14.4" ns1:dyDescent="0.25"/>
    <row r="817" ht="14.4" ns1:dyDescent="0.25"/>
    <row r="818" ht="14.4" ns1:dyDescent="0.25"/>
    <row r="819" ht="14.4" ns1:dyDescent="0.25"/>
    <row r="820" ht="14.4" ns1:dyDescent="0.25"/>
    <row r="821" ht="14.4" ns1:dyDescent="0.25"/>
    <row r="822" ht="14.4" ns1:dyDescent="0.25"/>
    <row r="823" ht="14.4" ns1:dyDescent="0.25"/>
    <row r="824" ht="14.4" ns1:dyDescent="0.25"/>
    <row r="825" ht="14.4" ns1:dyDescent="0.25"/>
    <row r="826" ht="14.4" ns1:dyDescent="0.25"/>
    <row r="827" ht="14.4" ns1:dyDescent="0.25"/>
    <row r="828" ht="14.4" ns1:dyDescent="0.25"/>
    <row r="829" ht="14.4" ns1:dyDescent="0.25"/>
    <row r="830" ht="14.4" ns1:dyDescent="0.25"/>
    <row r="831" ht="14.4" ns1:dyDescent="0.25"/>
    <row r="832" ht="14.4" ns1:dyDescent="0.25"/>
    <row r="833" ht="14.4" ns1:dyDescent="0.25"/>
    <row r="834" ht="14.4" ns1:dyDescent="0.25"/>
    <row r="835" ht="14.4" ns1:dyDescent="0.25"/>
    <row r="836" ht="14.4" ns1:dyDescent="0.25"/>
    <row r="837" ht="14.4" ns1:dyDescent="0.25"/>
    <row r="838" ht="14.4" ns1:dyDescent="0.25"/>
    <row r="839" ht="14.4" ns1:dyDescent="0.25"/>
    <row r="840" ht="14.4" ns1:dyDescent="0.25"/>
    <row r="841" ht="14.4" ns1:dyDescent="0.25"/>
    <row r="842" ht="14.4" ns1:dyDescent="0.25"/>
    <row r="843" ht="14.4" ns1:dyDescent="0.25"/>
    <row r="844" ht="14.4" ns1:dyDescent="0.25"/>
    <row r="845" ht="14.4" ns1:dyDescent="0.25"/>
    <row r="846" ht="14.4" ns1:dyDescent="0.25"/>
    <row r="847" ht="14.4" ns1:dyDescent="0.25"/>
    <row r="848" ht="14.4" ns1:dyDescent="0.25"/>
    <row r="849" ht="14.4" ns1:dyDescent="0.25"/>
    <row r="850" ht="14.4" ns1:dyDescent="0.25"/>
    <row r="851" ht="14.4" ns1:dyDescent="0.25"/>
    <row r="852" ht="14.4" ns1:dyDescent="0.25"/>
    <row r="853" ht="14.4" ns1:dyDescent="0.25"/>
    <row r="854" ht="14.4" ns1:dyDescent="0.25"/>
    <row r="855" ht="14.4" ns1:dyDescent="0.25"/>
    <row r="856" ht="14.4" ns1:dyDescent="0.25"/>
    <row r="857" ht="14.4" ns1:dyDescent="0.25"/>
    <row r="858" ht="14.4" ns1:dyDescent="0.25"/>
    <row r="859" ht="14.4" ns1:dyDescent="0.25"/>
    <row r="860" ht="14.4" ns1:dyDescent="0.25"/>
    <row r="861" ht="14.4" ns1:dyDescent="0.25"/>
    <row r="862" ht="14.4" ns1:dyDescent="0.25"/>
    <row r="863" ht="14.4" ns1:dyDescent="0.25"/>
    <row r="864" ht="14.4" ns1:dyDescent="0.25"/>
    <row r="865" ht="14.4" ns1:dyDescent="0.25"/>
    <row r="866" ht="14.4" ns1:dyDescent="0.25"/>
    <row r="867" ht="14.4" ns1:dyDescent="0.25"/>
    <row r="868" ht="14.4" ns1:dyDescent="0.25"/>
    <row r="869" ht="14.4" ns1:dyDescent="0.25"/>
    <row r="870" ht="14.4" ns1:dyDescent="0.25"/>
    <row r="871" ht="14.4" ns1:dyDescent="0.25"/>
    <row r="872" ht="14.4" ns1:dyDescent="0.25"/>
    <row r="873" ht="14.4" ns1:dyDescent="0.25"/>
    <row r="874" ht="14.4" ns1:dyDescent="0.25"/>
    <row r="875" ht="14.4" ns1:dyDescent="0.25"/>
    <row r="876" ht="14.4" ns1:dyDescent="0.25"/>
    <row r="877" ht="14.4" ns1:dyDescent="0.25"/>
    <row r="878" ht="14.4" ns1:dyDescent="0.25"/>
    <row r="879" ht="14.4" ns1:dyDescent="0.25"/>
    <row r="880" ht="14.4" ns1:dyDescent="0.25"/>
    <row r="881" ht="14.4" ns1:dyDescent="0.25"/>
    <row r="882" ht="14.4" ns1:dyDescent="0.25"/>
    <row r="883" ht="14.4" ns1:dyDescent="0.25"/>
    <row r="884" ht="14.4" ns1:dyDescent="0.25"/>
    <row r="885" ht="14.4" ns1:dyDescent="0.25"/>
    <row r="886" ht="14.4" ns1:dyDescent="0.25"/>
    <row r="887" ht="14.4" ns1:dyDescent="0.25"/>
    <row r="888" ht="14.4" ns1:dyDescent="0.25"/>
    <row r="889" ht="14.4" ns1:dyDescent="0.25"/>
    <row r="890" ht="14.4" ns1:dyDescent="0.25"/>
    <row r="891" ht="14.4" ns1:dyDescent="0.25"/>
    <row r="892" ht="14.4" ns1:dyDescent="0.25"/>
    <row r="893" ht="14.4" ns1:dyDescent="0.25"/>
    <row r="894" ht="14.4" ns1:dyDescent="0.25"/>
    <row r="895" ht="14.4" ns1:dyDescent="0.25"/>
    <row r="896" ht="14.4" ns1:dyDescent="0.25"/>
    <row r="897" ht="14.4" ns1:dyDescent="0.25"/>
    <row r="898" ht="14.4" ns1:dyDescent="0.25"/>
    <row r="899" ht="14.4" ns1:dyDescent="0.25"/>
    <row r="900" ht="14.4" ns1:dyDescent="0.25"/>
    <row r="901" ht="14.4" ns1:dyDescent="0.25"/>
    <row r="902" ht="14.4" ns1:dyDescent="0.25"/>
    <row r="903" ht="14.4" ns1:dyDescent="0.25"/>
    <row r="904" ht="14.4" ns1:dyDescent="0.25"/>
    <row r="905" ht="14.4" ns1:dyDescent="0.25"/>
    <row r="906" ht="14.4" ns1:dyDescent="0.25"/>
    <row r="907" ht="14.4" ns1:dyDescent="0.25"/>
    <row r="908" ht="14.4" ns1:dyDescent="0.25"/>
    <row r="909" ht="14.4" ns1:dyDescent="0.25"/>
    <row r="910" ht="14.4" ns1:dyDescent="0.25"/>
    <row r="911" ht="14.4" ns1:dyDescent="0.25"/>
    <row r="912" ht="14.4" ns1:dyDescent="0.25"/>
    <row r="913" ht="14.4" ns1:dyDescent="0.25"/>
    <row r="914" ht="14.4" ns1:dyDescent="0.25"/>
    <row r="915" ht="14.4" ns1:dyDescent="0.25"/>
    <row r="916" ht="14.4" ns1:dyDescent="0.25"/>
    <row r="917" ht="14.4" ns1:dyDescent="0.25"/>
    <row r="918" ht="14.4" ns1:dyDescent="0.25"/>
    <row r="919" ht="14.4" ns1:dyDescent="0.25"/>
    <row r="920" ht="14.4" ns1:dyDescent="0.25"/>
    <row r="921" ht="14.4" ns1:dyDescent="0.25"/>
    <row r="922" ht="14.4" ns1:dyDescent="0.25"/>
    <row r="923" ht="14.4" ns1:dyDescent="0.25"/>
    <row r="924" ht="14.4" ns1:dyDescent="0.25"/>
    <row r="925" ht="14.4" ns1:dyDescent="0.25"/>
    <row r="926" ht="14.4" ns1:dyDescent="0.25"/>
    <row r="927" ht="14.4" ns1:dyDescent="0.25"/>
    <row r="928" ht="14.4" ns1:dyDescent="0.25"/>
    <row r="929" ht="14.4" ns1:dyDescent="0.25"/>
    <row r="930" ht="14.4" ns1:dyDescent="0.25"/>
    <row r="931" ht="14.4" ns1:dyDescent="0.25"/>
    <row r="932" ht="14.4" ns1:dyDescent="0.25"/>
    <row r="933" ht="14.4" ns1:dyDescent="0.25"/>
    <row r="934" ht="14.4" ns1:dyDescent="0.25"/>
    <row r="935" ht="14.4" ns1:dyDescent="0.25"/>
    <row r="936" ht="14.4" ns1:dyDescent="0.25"/>
    <row r="937" ht="14.4" ns1:dyDescent="0.25"/>
    <row r="938" ht="14.4" ns1:dyDescent="0.25"/>
    <row r="939" ht="14.4" ns1:dyDescent="0.25"/>
    <row r="940" ht="14.4" ns1:dyDescent="0.25"/>
    <row r="941" ht="14.4" ns1:dyDescent="0.25"/>
    <row r="942" ht="14.4" ns1:dyDescent="0.25"/>
    <row r="943" ht="14.4" ns1:dyDescent="0.25"/>
    <row r="944" ht="14.4" ns1:dyDescent="0.25"/>
    <row r="945" ht="14.4" ns1:dyDescent="0.25"/>
    <row r="946" ht="14.4" ns1:dyDescent="0.25"/>
    <row r="947" ht="14.4" ns1:dyDescent="0.25"/>
    <row r="948" ht="14.4" ns1:dyDescent="0.25"/>
    <row r="949" ht="14.4" ns1:dyDescent="0.25"/>
    <row r="950" ht="14.4" ns1:dyDescent="0.25"/>
    <row r="951" ht="14.4" ns1:dyDescent="0.25"/>
    <row r="952" ht="14.4" ns1:dyDescent="0.25"/>
    <row r="953" ht="14.4" ns1:dyDescent="0.25"/>
    <row r="954" ht="14.4" ns1:dyDescent="0.25"/>
    <row r="955" ht="14.4" ns1:dyDescent="0.25"/>
    <row r="956" ht="14.4" ns1:dyDescent="0.25"/>
    <row r="957" ht="14.4" ns1:dyDescent="0.25"/>
    <row r="958" ht="14.4" ns1:dyDescent="0.25"/>
    <row r="959" ht="14.4" ns1:dyDescent="0.25"/>
    <row r="960" ht="14.4" ns1:dyDescent="0.25"/>
    <row r="961" ht="14.4" ns1:dyDescent="0.25"/>
    <row r="962" ht="14.4" ns1:dyDescent="0.25"/>
    <row r="963" ht="14.4" ns1:dyDescent="0.25"/>
    <row r="964" ht="14.4" ns1:dyDescent="0.25"/>
    <row r="965" ht="14.4" ns1:dyDescent="0.25"/>
    <row r="966" ht="14.4" ns1:dyDescent="0.25"/>
    <row r="967" ht="14.4" ns1:dyDescent="0.25"/>
    <row r="968" ht="14.4" ns1:dyDescent="0.25"/>
    <row r="969" ht="14.4" ns1:dyDescent="0.25"/>
    <row r="970" ht="14.4" ns1:dyDescent="0.25"/>
    <row r="971" ht="14.4" ns1:dyDescent="0.25"/>
    <row r="972" ht="14.4" ns1:dyDescent="0.25"/>
    <row r="973" ht="14.4" ns1:dyDescent="0.25"/>
    <row r="974" ht="14.4" ns1:dyDescent="0.25"/>
    <row r="975" ht="14.4" ns1:dyDescent="0.25"/>
    <row r="976" ht="14.4" ns1:dyDescent="0.25"/>
    <row r="977" ht="14.4" ns1:dyDescent="0.25"/>
    <row r="978" ht="14.4" ns1:dyDescent="0.25"/>
    <row r="979" ht="14.4" ns1:dyDescent="0.25"/>
    <row r="980" ht="14.4" ns1:dyDescent="0.25"/>
    <row r="981" ht="14.4" ns1:dyDescent="0.25"/>
    <row r="982" ht="14.4" ns1:dyDescent="0.25"/>
    <row r="983" ht="14.4" ns1:dyDescent="0.25"/>
    <row r="984" ht="14.4" ns1:dyDescent="0.25"/>
    <row r="985" ht="14.4" ns1:dyDescent="0.25"/>
    <row r="986" ht="14.4" ns1:dyDescent="0.25"/>
    <row r="987" ht="14.4" ns1:dyDescent="0.25"/>
    <row r="988" ht="14.4" ns1:dyDescent="0.25"/>
    <row r="989" ht="14.4" ns1:dyDescent="0.25"/>
    <row r="990" ht="14.4" ns1:dyDescent="0.25"/>
    <row r="991" ht="14.4" ns1:dyDescent="0.25"/>
    <row r="992" ht="14.4" ns1:dyDescent="0.25"/>
    <row r="993" ht="14.4" ns1:dyDescent="0.25"/>
    <row r="994" ht="14.4" ns1:dyDescent="0.25"/>
    <row r="995" ht="14.4" ns1:dyDescent="0.25"/>
    <row r="996" ht="14.4" ns1:dyDescent="0.25"/>
    <row r="997" ht="14.4" ns1:dyDescent="0.25"/>
    <row r="998" ht="14.4" ns1:dyDescent="0.25"/>
    <row r="999" ht="14.4" ns1:dyDescent="0.25"/>
    <row r="1000" ht="14.4" ns1:dyDescent="0.25"/>
    <row r="1001" ht="14.4" ns1:dyDescent="0.25"/>
    <row r="1002" ht="14.4" ns1:dyDescent="0.25"/>
    <row r="1003" ht="14.4" ns1:dyDescent="0.25"/>
  </sheetData>
  <mergeCells count="1">
    <mergeCell ref="D2:G2"/>
  </mergeCells>
  <pageMargins left="0" right="0" top="0.75" bottom="0.75" header="0" footer="0"/>
  <pageSetup scale="64" fitToHeight="0" orientation="landscape" r:id="rId1"/>
  <headerFooter>
    <oddHeader>&amp;L02.13.26&amp;CPAYROLL FOR A PERIOOD ENDED 02.06.2026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Payroll Weekly 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Tatiana</dc:creator>
  <cp:lastModifiedBy>Tetyana Lavrova</cp:lastModifiedBy>
  <dcterms:created xsi:type="dcterms:W3CDTF">2017-11-20T18:14:02Z</dcterms:created>
  <dcterms:modified xsi:type="dcterms:W3CDTF">2026-02-10T17:50:43Z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0x01010099F19C3F0BFBC94E8E48B0FD619BD304</vt:lpwstr>
  </property>
</Properties>
</file>