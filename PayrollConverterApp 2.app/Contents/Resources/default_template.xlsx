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 Weekly Sample" sheetId="1" r:id="rId4"/>
    <sheet state="visible" name="Batch_Report_Sea_and_Air(2026-0" sheetId="2" r:id="rId5"/>
  </sheets>
  <definedNames/>
  <calcPr/>
  <extLst>
    <ext uri="GoogleSheetsCustomDataVersion2">
      <go:sheetsCustomData xmlns:go="http://customooxmlschemas.google.com/" r:id="rId6" roundtripDataChecksum="zU88hY1UTfcnmmXRkMSFbOZl2ttKxUrhdELImCihevw="/>
    </ext>
  </extLst>
</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<sst xmlns="http://schemas.openxmlformats.org/spreadsheetml/2006/main" count="175" uniqueCount="95">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</sst>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.13"/>
    <col customWidth="1" min="2" max="2" width="27.5"/>
    <col customWidth="1" min="3" max="4" width="10.13"/>
    <col customWidth="1" min="5" max="5" width="17.25"/>
    <col customWidth="1" min="6" max="6" width="12.38"/>
    <col customWidth="1" min="7" max="7" width="11.25"/>
    <col customWidth="1" min="8" max="12" width="10.13"/>
    <col customWidth="1" min="13" max="13" width="12.25"/>
    <col customWidth="1" min="14" max="17" width="10.13"/>
    <col customWidth="1" min="18" max="29" width="7.13"/>
  </cols>
  <sheetData>
    <row r="1" ht="12.75" customHeight="1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2.75" customHeight="1">
      <c r="A2" s="1"/>
      <c r="B2" s="5" t="s">
        <v>0</v>
      </c>
      <c r="C2" s="6" t="s">
        <v>1</v>
      </c>
      <c r="D2" s="7" t="s">
        <v>2</v>
      </c>
      <c r="E2" s="8"/>
      <c r="F2" s="8"/>
      <c r="G2" s="9"/>
      <c r="H2" s="10" t="s">
        <v>3</v>
      </c>
      <c r="I2" s="11" t="s">
        <v>4</v>
      </c>
      <c r="J2" s="12" t="s">
        <v>5</v>
      </c>
      <c r="K2" s="10" t="s">
        <v>3</v>
      </c>
      <c r="L2" s="10" t="s">
        <v>3</v>
      </c>
      <c r="M2" s="11" t="s">
        <v>4</v>
      </c>
      <c r="N2" s="11" t="s">
        <v>4</v>
      </c>
      <c r="O2" s="12" t="s">
        <v>5</v>
      </c>
      <c r="P2" s="12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75" customHeight="1">
      <c r="A3" s="1"/>
      <c r="B3" s="13"/>
      <c r="C3" s="6"/>
      <c r="D3" s="14" t="s">
        <v>6</v>
      </c>
      <c r="E3" s="6" t="s">
        <v>7</v>
      </c>
      <c r="F3" s="6" t="s">
        <v>8</v>
      </c>
      <c r="G3" s="15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2.75" customHeight="1">
      <c r="A4" s="16"/>
      <c r="B4" s="17" t="s">
        <v>12</v>
      </c>
      <c r="C4" s="18"/>
      <c r="D4" s="19"/>
      <c r="E4" s="18"/>
      <c r="F4" s="18"/>
      <c r="G4" s="20"/>
      <c r="H4" s="18"/>
      <c r="I4" s="18"/>
      <c r="J4" s="18"/>
      <c r="K4" s="18"/>
      <c r="L4" s="18"/>
      <c r="M4" s="18"/>
      <c r="N4" s="18"/>
      <c r="O4" s="18"/>
      <c r="P4" s="18"/>
      <c r="Q4" s="21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4.25" customHeight="1">
      <c r="A5" s="1">
        <v>1.0</v>
      </c>
      <c r="B5" s="23" t="s">
        <v>13</v>
      </c>
      <c r="C5" s="24">
        <v>18.0</v>
      </c>
      <c r="D5" s="25">
        <f t="shared" ref="D5:D25" si="1">Q5</f>
        <v>0</v>
      </c>
      <c r="E5" s="26">
        <f t="shared" ref="E5:E25" si="2">IF(D5&gt;40,(D5-40)*(C5*1.5)+(C5*40),D5*C5)</f>
        <v>0</v>
      </c>
      <c r="F5" s="26">
        <f t="shared" ref="F5:F25" si="3">IF(D5&gt;40,(D5-40)*(C5*0.5),0)</f>
        <v>0</v>
      </c>
      <c r="G5" s="27">
        <f t="shared" ref="G5:G25" si="4">SUM(H5:J5)</f>
        <v>0</v>
      </c>
      <c r="H5" s="26"/>
      <c r="I5" s="26"/>
      <c r="J5" s="26"/>
      <c r="K5" s="28"/>
      <c r="L5" s="29">
        <f t="shared" ref="L5:L13" si="5">IFERROR(K5/Q5,0)</f>
        <v>0</v>
      </c>
      <c r="M5" s="30"/>
      <c r="N5" s="29">
        <f t="shared" ref="N5:N25" si="6">IFERROR(M5/Q5,0)</f>
        <v>0</v>
      </c>
      <c r="O5" s="31"/>
      <c r="P5" s="29">
        <f t="shared" ref="P5:P25" si="7">IFERROR(O5/Q5,0)</f>
        <v>0</v>
      </c>
      <c r="Q5" s="32">
        <f t="shared" ref="Q5:Q25" si="8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">
        <f t="shared" ref="A6:A8" si="9">1+A5</f>
        <v>2</v>
      </c>
      <c r="B6" s="33" t="s">
        <v>14</v>
      </c>
      <c r="C6" s="34">
        <v>16.0</v>
      </c>
      <c r="D6" s="35">
        <f t="shared" si="1"/>
        <v>0</v>
      </c>
      <c r="E6" s="36">
        <f t="shared" si="2"/>
        <v>0</v>
      </c>
      <c r="F6" s="37">
        <f t="shared" si="3"/>
        <v>0</v>
      </c>
      <c r="G6" s="38">
        <f t="shared" si="4"/>
        <v>0</v>
      </c>
      <c r="H6" s="37"/>
      <c r="I6" s="37"/>
      <c r="J6" s="37"/>
      <c r="K6" s="39"/>
      <c r="L6" s="40">
        <f t="shared" si="5"/>
        <v>0</v>
      </c>
      <c r="M6" s="41"/>
      <c r="N6" s="40">
        <f t="shared" si="6"/>
        <v>0</v>
      </c>
      <c r="O6" s="42"/>
      <c r="P6" s="40">
        <f t="shared" si="7"/>
        <v>0</v>
      </c>
      <c r="Q6" s="43">
        <f t="shared" si="8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2.75" customHeight="1">
      <c r="A7" s="1">
        <f t="shared" si="9"/>
        <v>3</v>
      </c>
      <c r="B7" s="44" t="s">
        <v>15</v>
      </c>
      <c r="C7" s="34">
        <v>18.0</v>
      </c>
      <c r="D7" s="35">
        <f t="shared" si="1"/>
        <v>0</v>
      </c>
      <c r="E7" s="36">
        <f t="shared" si="2"/>
        <v>0</v>
      </c>
      <c r="F7" s="37">
        <f t="shared" si="3"/>
        <v>0</v>
      </c>
      <c r="G7" s="38">
        <f t="shared" si="4"/>
        <v>0</v>
      </c>
      <c r="H7" s="37"/>
      <c r="I7" s="37"/>
      <c r="J7" s="37"/>
      <c r="K7" s="39"/>
      <c r="L7" s="40">
        <f t="shared" si="5"/>
        <v>0</v>
      </c>
      <c r="M7" s="41"/>
      <c r="N7" s="40">
        <f t="shared" si="6"/>
        <v>0</v>
      </c>
      <c r="O7" s="42"/>
      <c r="P7" s="40">
        <f t="shared" si="7"/>
        <v>0</v>
      </c>
      <c r="Q7" s="43">
        <f t="shared" si="8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2.75" customHeight="1">
      <c r="A8" s="1">
        <f t="shared" si="9"/>
        <v>4</v>
      </c>
      <c r="B8" s="33" t="s">
        <v>16</v>
      </c>
      <c r="C8" s="34">
        <v>19.0</v>
      </c>
      <c r="D8" s="35">
        <f t="shared" si="1"/>
        <v>0</v>
      </c>
      <c r="E8" s="36">
        <f t="shared" si="2"/>
        <v>0</v>
      </c>
      <c r="F8" s="37">
        <f t="shared" si="3"/>
        <v>0</v>
      </c>
      <c r="G8" s="38">
        <f t="shared" si="4"/>
        <v>0</v>
      </c>
      <c r="H8" s="45"/>
      <c r="I8" s="45"/>
      <c r="J8" s="45"/>
      <c r="K8" s="46"/>
      <c r="L8" s="40">
        <f t="shared" si="5"/>
        <v>0</v>
      </c>
      <c r="M8" s="47"/>
      <c r="N8" s="40">
        <f t="shared" si="6"/>
        <v>0</v>
      </c>
      <c r="O8" s="48"/>
      <c r="P8" s="40">
        <f t="shared" si="7"/>
        <v>0</v>
      </c>
      <c r="Q8" s="43">
        <f t="shared" si="8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1">
        <v>2.0</v>
      </c>
      <c r="B9" s="44" t="s">
        <v>17</v>
      </c>
      <c r="C9" s="34">
        <v>20.0</v>
      </c>
      <c r="D9" s="35">
        <f t="shared" si="1"/>
        <v>0</v>
      </c>
      <c r="E9" s="36">
        <f t="shared" si="2"/>
        <v>0</v>
      </c>
      <c r="F9" s="37">
        <f t="shared" si="3"/>
        <v>0</v>
      </c>
      <c r="G9" s="38">
        <f t="shared" si="4"/>
        <v>0</v>
      </c>
      <c r="H9" s="45"/>
      <c r="I9" s="45"/>
      <c r="J9" s="45"/>
      <c r="K9" s="46"/>
      <c r="L9" s="40">
        <f t="shared" si="5"/>
        <v>0</v>
      </c>
      <c r="M9" s="47"/>
      <c r="N9" s="40">
        <f t="shared" si="6"/>
        <v>0</v>
      </c>
      <c r="O9" s="48"/>
      <c r="P9" s="40">
        <f t="shared" si="7"/>
        <v>0</v>
      </c>
      <c r="Q9" s="43">
        <f t="shared" si="8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1">
        <f t="shared" ref="A10:A24" si="10">A9+1</f>
        <v>3</v>
      </c>
      <c r="B10" s="33" t="s">
        <v>18</v>
      </c>
      <c r="C10" s="34">
        <v>19.0</v>
      </c>
      <c r="D10" s="35">
        <f t="shared" si="1"/>
        <v>0</v>
      </c>
      <c r="E10" s="36">
        <f t="shared" si="2"/>
        <v>0</v>
      </c>
      <c r="F10" s="37">
        <f t="shared" si="3"/>
        <v>0</v>
      </c>
      <c r="G10" s="38">
        <f t="shared" si="4"/>
        <v>0</v>
      </c>
      <c r="H10" s="45"/>
      <c r="I10" s="45"/>
      <c r="J10" s="45"/>
      <c r="K10" s="46"/>
      <c r="L10" s="40">
        <f t="shared" si="5"/>
        <v>0</v>
      </c>
      <c r="M10" s="47"/>
      <c r="N10" s="40">
        <f t="shared" si="6"/>
        <v>0</v>
      </c>
      <c r="O10" s="48"/>
      <c r="P10" s="40">
        <f t="shared" si="7"/>
        <v>0</v>
      </c>
      <c r="Q10" s="43">
        <f t="shared" si="8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">
        <f t="shared" si="10"/>
        <v>4</v>
      </c>
      <c r="B11" s="44" t="s">
        <v>19</v>
      </c>
      <c r="C11" s="34">
        <v>18.0</v>
      </c>
      <c r="D11" s="35">
        <f t="shared" si="1"/>
        <v>0</v>
      </c>
      <c r="E11" s="36">
        <f t="shared" si="2"/>
        <v>0</v>
      </c>
      <c r="F11" s="37">
        <f t="shared" si="3"/>
        <v>0</v>
      </c>
      <c r="G11" s="38">
        <f t="shared" si="4"/>
        <v>0</v>
      </c>
      <c r="H11" s="45"/>
      <c r="I11" s="45"/>
      <c r="J11" s="45"/>
      <c r="K11" s="46"/>
      <c r="L11" s="40">
        <f t="shared" si="5"/>
        <v>0</v>
      </c>
      <c r="M11" s="47"/>
      <c r="N11" s="40">
        <f t="shared" si="6"/>
        <v>0</v>
      </c>
      <c r="O11" s="48"/>
      <c r="P11" s="40">
        <f t="shared" si="7"/>
        <v>0</v>
      </c>
      <c r="Q11" s="43">
        <f t="shared" si="8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1">
        <f t="shared" si="10"/>
        <v>5</v>
      </c>
      <c r="B12" s="44" t="s">
        <v>20</v>
      </c>
      <c r="C12" s="34">
        <v>19.0</v>
      </c>
      <c r="D12" s="35">
        <f t="shared" si="1"/>
        <v>0</v>
      </c>
      <c r="E12" s="36">
        <f t="shared" si="2"/>
        <v>0</v>
      </c>
      <c r="F12" s="37">
        <f t="shared" si="3"/>
        <v>0</v>
      </c>
      <c r="G12" s="38">
        <f t="shared" si="4"/>
        <v>0</v>
      </c>
      <c r="H12" s="45"/>
      <c r="I12" s="45"/>
      <c r="J12" s="45"/>
      <c r="K12" s="46"/>
      <c r="L12" s="40">
        <f t="shared" si="5"/>
        <v>0</v>
      </c>
      <c r="M12" s="47"/>
      <c r="N12" s="40">
        <f t="shared" si="6"/>
        <v>0</v>
      </c>
      <c r="O12" s="48"/>
      <c r="P12" s="40">
        <f t="shared" si="7"/>
        <v>0</v>
      </c>
      <c r="Q12" s="43">
        <f t="shared" si="8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2.75" customHeight="1">
      <c r="A13" s="1">
        <f t="shared" si="10"/>
        <v>6</v>
      </c>
      <c r="B13" s="33" t="s">
        <v>21</v>
      </c>
      <c r="C13" s="34">
        <v>19.0</v>
      </c>
      <c r="D13" s="35">
        <f t="shared" si="1"/>
        <v>0</v>
      </c>
      <c r="E13" s="36">
        <f t="shared" si="2"/>
        <v>0</v>
      </c>
      <c r="F13" s="37">
        <f t="shared" si="3"/>
        <v>0</v>
      </c>
      <c r="G13" s="38">
        <f t="shared" si="4"/>
        <v>0</v>
      </c>
      <c r="H13" s="45"/>
      <c r="I13" s="45"/>
      <c r="J13" s="45"/>
      <c r="K13" s="46"/>
      <c r="L13" s="40">
        <f t="shared" si="5"/>
        <v>0</v>
      </c>
      <c r="M13" s="47"/>
      <c r="N13" s="40">
        <f t="shared" si="6"/>
        <v>0</v>
      </c>
      <c r="O13" s="48"/>
      <c r="P13" s="40">
        <f t="shared" si="7"/>
        <v>0</v>
      </c>
      <c r="Q13" s="43">
        <f t="shared" si="8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1">
        <f t="shared" si="10"/>
        <v>7</v>
      </c>
      <c r="B14" s="44" t="s">
        <v>22</v>
      </c>
      <c r="C14" s="34">
        <v>18.0</v>
      </c>
      <c r="D14" s="35">
        <f t="shared" si="1"/>
        <v>0</v>
      </c>
      <c r="E14" s="36">
        <f t="shared" si="2"/>
        <v>0</v>
      </c>
      <c r="F14" s="37">
        <f t="shared" si="3"/>
        <v>0</v>
      </c>
      <c r="G14" s="38">
        <f t="shared" si="4"/>
        <v>0</v>
      </c>
      <c r="H14" s="45"/>
      <c r="I14" s="45"/>
      <c r="J14" s="45"/>
      <c r="K14" s="46"/>
      <c r="L14" s="40">
        <v>0.0</v>
      </c>
      <c r="M14" s="47"/>
      <c r="N14" s="40">
        <f t="shared" si="6"/>
        <v>0</v>
      </c>
      <c r="O14" s="48"/>
      <c r="P14" s="40">
        <f t="shared" si="7"/>
        <v>0</v>
      </c>
      <c r="Q14" s="43">
        <f t="shared" si="8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1">
        <f t="shared" si="10"/>
        <v>8</v>
      </c>
      <c r="B15" s="44" t="s">
        <v>23</v>
      </c>
      <c r="C15" s="34">
        <v>19.0</v>
      </c>
      <c r="D15" s="35">
        <f t="shared" si="1"/>
        <v>0</v>
      </c>
      <c r="E15" s="36">
        <f t="shared" si="2"/>
        <v>0</v>
      </c>
      <c r="F15" s="37">
        <f t="shared" si="3"/>
        <v>0</v>
      </c>
      <c r="G15" s="38">
        <f t="shared" si="4"/>
        <v>0</v>
      </c>
      <c r="H15" s="45"/>
      <c r="I15" s="45"/>
      <c r="J15" s="45"/>
      <c r="K15" s="46"/>
      <c r="L15" s="40">
        <f t="shared" ref="L15:L25" si="11">IFERROR(K15/Q15,0)</f>
        <v>0</v>
      </c>
      <c r="M15" s="47"/>
      <c r="N15" s="40">
        <f t="shared" si="6"/>
        <v>0</v>
      </c>
      <c r="O15" s="48"/>
      <c r="P15" s="40">
        <f t="shared" si="7"/>
        <v>0</v>
      </c>
      <c r="Q15" s="43">
        <f t="shared" si="8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1">
        <f t="shared" si="10"/>
        <v>9</v>
      </c>
      <c r="B16" s="44" t="s">
        <v>24</v>
      </c>
      <c r="C16" s="34">
        <v>20.0</v>
      </c>
      <c r="D16" s="35">
        <f t="shared" si="1"/>
        <v>0</v>
      </c>
      <c r="E16" s="36">
        <f t="shared" si="2"/>
        <v>0</v>
      </c>
      <c r="F16" s="37">
        <f t="shared" si="3"/>
        <v>0</v>
      </c>
      <c r="G16" s="38">
        <f t="shared" si="4"/>
        <v>0</v>
      </c>
      <c r="H16" s="45"/>
      <c r="I16" s="45"/>
      <c r="J16" s="45"/>
      <c r="K16" s="46"/>
      <c r="L16" s="40">
        <f t="shared" si="11"/>
        <v>0</v>
      </c>
      <c r="M16" s="47"/>
      <c r="N16" s="40">
        <f t="shared" si="6"/>
        <v>0</v>
      </c>
      <c r="O16" s="48"/>
      <c r="P16" s="40">
        <f t="shared" si="7"/>
        <v>0</v>
      </c>
      <c r="Q16" s="43">
        <f t="shared" si="8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">
        <f t="shared" si="10"/>
        <v>10</v>
      </c>
      <c r="B17" s="33" t="s">
        <v>25</v>
      </c>
      <c r="C17" s="34">
        <v>17.0</v>
      </c>
      <c r="D17" s="35">
        <f t="shared" si="1"/>
        <v>0</v>
      </c>
      <c r="E17" s="36">
        <f t="shared" si="2"/>
        <v>0</v>
      </c>
      <c r="F17" s="37">
        <f t="shared" si="3"/>
        <v>0</v>
      </c>
      <c r="G17" s="38">
        <f t="shared" si="4"/>
        <v>0</v>
      </c>
      <c r="H17" s="45"/>
      <c r="I17" s="45"/>
      <c r="J17" s="45"/>
      <c r="K17" s="46"/>
      <c r="L17" s="40">
        <f t="shared" si="11"/>
        <v>0</v>
      </c>
      <c r="M17" s="47"/>
      <c r="N17" s="40">
        <f t="shared" si="6"/>
        <v>0</v>
      </c>
      <c r="O17" s="48"/>
      <c r="P17" s="40">
        <f t="shared" si="7"/>
        <v>0</v>
      </c>
      <c r="Q17" s="43">
        <f t="shared" si="8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1">
        <f t="shared" si="10"/>
        <v>11</v>
      </c>
      <c r="B18" s="33" t="s">
        <v>26</v>
      </c>
      <c r="C18" s="34">
        <v>20.0</v>
      </c>
      <c r="D18" s="35">
        <f t="shared" si="1"/>
        <v>0</v>
      </c>
      <c r="E18" s="36">
        <f t="shared" si="2"/>
        <v>0</v>
      </c>
      <c r="F18" s="37">
        <f t="shared" si="3"/>
        <v>0</v>
      </c>
      <c r="G18" s="38">
        <f t="shared" si="4"/>
        <v>0</v>
      </c>
      <c r="H18" s="45"/>
      <c r="I18" s="45"/>
      <c r="J18" s="45"/>
      <c r="K18" s="46"/>
      <c r="L18" s="40">
        <f t="shared" si="11"/>
        <v>0</v>
      </c>
      <c r="M18" s="47"/>
      <c r="N18" s="40">
        <f t="shared" si="6"/>
        <v>0</v>
      </c>
      <c r="O18" s="48"/>
      <c r="P18" s="40">
        <f t="shared" si="7"/>
        <v>0</v>
      </c>
      <c r="Q18" s="43">
        <f t="shared" si="8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1">
        <f t="shared" si="10"/>
        <v>12</v>
      </c>
      <c r="B19" s="44" t="s">
        <v>27</v>
      </c>
      <c r="C19" s="34">
        <v>19.0</v>
      </c>
      <c r="D19" s="35">
        <f t="shared" si="1"/>
        <v>0</v>
      </c>
      <c r="E19" s="36">
        <f t="shared" si="2"/>
        <v>0</v>
      </c>
      <c r="F19" s="37">
        <f t="shared" si="3"/>
        <v>0</v>
      </c>
      <c r="G19" s="38">
        <f t="shared" si="4"/>
        <v>0</v>
      </c>
      <c r="H19" s="37"/>
      <c r="I19" s="37"/>
      <c r="J19" s="37"/>
      <c r="K19" s="39"/>
      <c r="L19" s="40">
        <f t="shared" si="11"/>
        <v>0</v>
      </c>
      <c r="M19" s="41"/>
      <c r="N19" s="40">
        <f t="shared" si="6"/>
        <v>0</v>
      </c>
      <c r="O19" s="42"/>
      <c r="P19" s="40">
        <f t="shared" si="7"/>
        <v>0</v>
      </c>
      <c r="Q19" s="43">
        <f t="shared" si="8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hidden="1" customHeight="1">
      <c r="A20" s="1">
        <f t="shared" si="10"/>
        <v>13</v>
      </c>
      <c r="B20" s="33" t="s">
        <v>28</v>
      </c>
      <c r="C20" s="34">
        <v>17.0</v>
      </c>
      <c r="D20" s="35">
        <f t="shared" si="1"/>
        <v>0</v>
      </c>
      <c r="E20" s="36">
        <f t="shared" si="2"/>
        <v>0</v>
      </c>
      <c r="F20" s="37">
        <f t="shared" si="3"/>
        <v>0</v>
      </c>
      <c r="G20" s="38">
        <f t="shared" si="4"/>
        <v>0</v>
      </c>
      <c r="H20" s="37"/>
      <c r="I20" s="37"/>
      <c r="J20" s="37"/>
      <c r="K20" s="39"/>
      <c r="L20" s="40">
        <f t="shared" si="11"/>
        <v>0</v>
      </c>
      <c r="M20" s="41"/>
      <c r="N20" s="40">
        <f t="shared" si="6"/>
        <v>0</v>
      </c>
      <c r="O20" s="42"/>
      <c r="P20" s="40">
        <f t="shared" si="7"/>
        <v>0</v>
      </c>
      <c r="Q20" s="43">
        <f t="shared" si="8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1">
        <f t="shared" si="10"/>
        <v>14</v>
      </c>
      <c r="B21" s="33" t="s">
        <v>29</v>
      </c>
      <c r="C21" s="34">
        <v>17.0</v>
      </c>
      <c r="D21" s="35">
        <f t="shared" si="1"/>
        <v>0</v>
      </c>
      <c r="E21" s="36">
        <f t="shared" si="2"/>
        <v>0</v>
      </c>
      <c r="F21" s="37">
        <f t="shared" si="3"/>
        <v>0</v>
      </c>
      <c r="G21" s="38">
        <f t="shared" si="4"/>
        <v>0</v>
      </c>
      <c r="H21" s="37"/>
      <c r="I21" s="37"/>
      <c r="J21" s="37"/>
      <c r="K21" s="39"/>
      <c r="L21" s="40">
        <f t="shared" si="11"/>
        <v>0</v>
      </c>
      <c r="M21" s="41"/>
      <c r="N21" s="40">
        <f t="shared" si="6"/>
        <v>0</v>
      </c>
      <c r="O21" s="42"/>
      <c r="P21" s="40">
        <f t="shared" si="7"/>
        <v>0</v>
      </c>
      <c r="Q21" s="43">
        <f t="shared" si="8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1">
        <f t="shared" si="10"/>
        <v>15</v>
      </c>
      <c r="B22" s="33" t="s">
        <v>30</v>
      </c>
      <c r="C22" s="34">
        <v>16.5</v>
      </c>
      <c r="D22" s="35">
        <f t="shared" si="1"/>
        <v>0</v>
      </c>
      <c r="E22" s="36">
        <f t="shared" si="2"/>
        <v>0</v>
      </c>
      <c r="F22" s="37">
        <f t="shared" si="3"/>
        <v>0</v>
      </c>
      <c r="G22" s="38">
        <f t="shared" si="4"/>
        <v>0</v>
      </c>
      <c r="H22" s="37"/>
      <c r="I22" s="37"/>
      <c r="J22" s="37"/>
      <c r="K22" s="39"/>
      <c r="L22" s="40">
        <f t="shared" si="11"/>
        <v>0</v>
      </c>
      <c r="M22" s="41"/>
      <c r="N22" s="40">
        <f t="shared" si="6"/>
        <v>0</v>
      </c>
      <c r="O22" s="42"/>
      <c r="P22" s="40">
        <f t="shared" si="7"/>
        <v>0</v>
      </c>
      <c r="Q22" s="43">
        <f t="shared" si="8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1">
        <f t="shared" si="10"/>
        <v>16</v>
      </c>
      <c r="B23" s="33" t="s">
        <v>31</v>
      </c>
      <c r="C23" s="34">
        <v>18.0</v>
      </c>
      <c r="D23" s="35">
        <f t="shared" si="1"/>
        <v>0</v>
      </c>
      <c r="E23" s="36">
        <f t="shared" si="2"/>
        <v>0</v>
      </c>
      <c r="F23" s="37">
        <f t="shared" si="3"/>
        <v>0</v>
      </c>
      <c r="G23" s="38">
        <f t="shared" si="4"/>
        <v>0</v>
      </c>
      <c r="H23" s="37"/>
      <c r="I23" s="37"/>
      <c r="J23" s="37"/>
      <c r="K23" s="39"/>
      <c r="L23" s="40">
        <f t="shared" si="11"/>
        <v>0</v>
      </c>
      <c r="M23" s="41"/>
      <c r="N23" s="40">
        <f t="shared" si="6"/>
        <v>0</v>
      </c>
      <c r="O23" s="42"/>
      <c r="P23" s="40">
        <f t="shared" si="7"/>
        <v>0</v>
      </c>
      <c r="Q23" s="43">
        <f t="shared" si="8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1">
        <f t="shared" si="10"/>
        <v>17</v>
      </c>
      <c r="B24" s="33" t="s">
        <v>32</v>
      </c>
      <c r="C24" s="49">
        <v>17.0</v>
      </c>
      <c r="D24" s="35">
        <f t="shared" si="1"/>
        <v>0</v>
      </c>
      <c r="E24" s="36">
        <f t="shared" si="2"/>
        <v>0</v>
      </c>
      <c r="F24" s="37">
        <f t="shared" si="3"/>
        <v>0</v>
      </c>
      <c r="G24" s="38">
        <f t="shared" si="4"/>
        <v>0</v>
      </c>
      <c r="H24" s="50"/>
      <c r="I24" s="50"/>
      <c r="J24" s="50"/>
      <c r="K24" s="51"/>
      <c r="L24" s="40">
        <f t="shared" si="11"/>
        <v>0</v>
      </c>
      <c r="M24" s="52"/>
      <c r="N24" s="40">
        <f t="shared" si="6"/>
        <v>0</v>
      </c>
      <c r="O24" s="53"/>
      <c r="P24" s="40">
        <f t="shared" si="7"/>
        <v>0</v>
      </c>
      <c r="Q24" s="43">
        <f t="shared" si="8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1">
        <f>1+A24</f>
        <v>18</v>
      </c>
      <c r="B25" s="54"/>
      <c r="C25" s="55"/>
      <c r="D25" s="56">
        <f t="shared" si="1"/>
        <v>0</v>
      </c>
      <c r="E25" s="57">
        <f t="shared" si="2"/>
        <v>0</v>
      </c>
      <c r="F25" s="57">
        <f t="shared" si="3"/>
        <v>0</v>
      </c>
      <c r="G25" s="58">
        <f t="shared" si="4"/>
        <v>0</v>
      </c>
      <c r="H25" s="57"/>
      <c r="I25" s="57"/>
      <c r="J25" s="57"/>
      <c r="K25" s="59"/>
      <c r="L25" s="60">
        <f t="shared" si="11"/>
        <v>0</v>
      </c>
      <c r="M25" s="61"/>
      <c r="N25" s="60">
        <f t="shared" si="6"/>
        <v>0</v>
      </c>
      <c r="O25" s="62"/>
      <c r="P25" s="60">
        <f t="shared" si="7"/>
        <v>0</v>
      </c>
      <c r="Q25" s="63">
        <f t="shared" si="8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1">
      <c r="A26" s="16"/>
      <c r="B26" s="64" t="s">
        <v>33</v>
      </c>
      <c r="C26" s="65"/>
      <c r="D26" s="66">
        <f t="shared" ref="D26:K26" si="12">SUM(D5:D25)</f>
        <v>0</v>
      </c>
      <c r="E26" s="67">
        <f t="shared" si="12"/>
        <v>0</v>
      </c>
      <c r="F26" s="67">
        <f t="shared" si="12"/>
        <v>0</v>
      </c>
      <c r="G26" s="68">
        <f t="shared" si="12"/>
        <v>0</v>
      </c>
      <c r="H26" s="67">
        <f t="shared" si="12"/>
        <v>0</v>
      </c>
      <c r="I26" s="67">
        <f t="shared" si="12"/>
        <v>0</v>
      </c>
      <c r="J26" s="67">
        <f t="shared" si="12"/>
        <v>0</v>
      </c>
      <c r="K26" s="69">
        <f t="shared" si="12"/>
        <v>0</v>
      </c>
      <c r="L26" s="70" t="str">
        <f>K26/Q26</f>
        <v>#DIV/0!</v>
      </c>
      <c r="M26" s="69">
        <f>SUM(M5:M25)</f>
        <v>0</v>
      </c>
      <c r="N26" s="70" t="str">
        <f>M26/Q26</f>
        <v>#DIV/0!</v>
      </c>
      <c r="O26" s="69">
        <f>SUM(O5:O25)</f>
        <v>0</v>
      </c>
      <c r="P26" s="71" t="str">
        <f>O26/D26</f>
        <v>#DIV/0!</v>
      </c>
      <c r="Q26" s="72">
        <f>SUM(Q5:Q25)</f>
        <v>0</v>
      </c>
      <c r="R26" s="73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2.75" customHeight="1">
      <c r="A27" s="1"/>
      <c r="B27" s="74" t="s">
        <v>34</v>
      </c>
      <c r="C27" s="2"/>
      <c r="D27" s="75"/>
      <c r="E27" s="2"/>
      <c r="F27" s="2"/>
      <c r="G27" s="4"/>
      <c r="H27" s="2"/>
      <c r="I27" s="2"/>
      <c r="J27" s="2"/>
      <c r="K27" s="76"/>
      <c r="L27" s="76"/>
      <c r="M27" s="76"/>
      <c r="N27" s="76"/>
      <c r="O27" s="76"/>
      <c r="P27" s="76"/>
      <c r="Q27" s="76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1"/>
      <c r="B28" s="6" t="s">
        <v>35</v>
      </c>
      <c r="C28" s="2"/>
      <c r="D28" s="75"/>
      <c r="E28" s="77">
        <f>E26+G26</f>
        <v>0</v>
      </c>
      <c r="F28" s="77"/>
      <c r="G28" s="78">
        <f>SUM(H28:J28)/1.18</f>
        <v>0</v>
      </c>
      <c r="H28" s="79">
        <f t="shared" ref="H28:J28" si="13">H26*1.18</f>
        <v>0</v>
      </c>
      <c r="I28" s="79">
        <f t="shared" si="13"/>
        <v>0</v>
      </c>
      <c r="J28" s="79">
        <f t="shared" si="13"/>
        <v>0</v>
      </c>
      <c r="K28" s="80" t="str">
        <f>E26*L26*1.18</f>
        <v>#DIV/0!</v>
      </c>
      <c r="L28" s="81"/>
      <c r="M28" s="82" t="str">
        <f>E26*N26*1.18</f>
        <v>#DIV/0!</v>
      </c>
      <c r="N28" s="83"/>
      <c r="O28" s="82" t="str">
        <f>E26*P26*1.18</f>
        <v>#DIV/0!</v>
      </c>
      <c r="P28" s="83"/>
      <c r="Q28" s="84" t="str">
        <f>(K28+M28+O28)/1.18</f>
        <v>#DIV/0!</v>
      </c>
      <c r="R28" s="85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1"/>
      <c r="B29" s="86"/>
      <c r="C29" s="2"/>
      <c r="D29" s="75"/>
      <c r="E29" s="77" t="str">
        <f>G28+Q28</f>
        <v>#DIV/0!</v>
      </c>
      <c r="F29" s="2"/>
      <c r="G29" s="4"/>
      <c r="H29" s="85"/>
      <c r="I29" s="85"/>
      <c r="J29" s="85"/>
      <c r="K29" s="87"/>
      <c r="L29" s="88"/>
      <c r="M29" s="87"/>
      <c r="N29" s="88"/>
      <c r="O29" s="87"/>
      <c r="P29" s="8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1"/>
      <c r="B30" s="86"/>
      <c r="C30" s="2"/>
      <c r="D30" s="75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1"/>
      <c r="B31" s="2"/>
      <c r="C31" s="2"/>
      <c r="D31" s="75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16"/>
      <c r="B32" s="89" t="s">
        <v>36</v>
      </c>
      <c r="C32" s="90"/>
      <c r="D32" s="91"/>
      <c r="E32" s="92"/>
      <c r="F32" s="92"/>
      <c r="G32" s="93"/>
      <c r="H32" s="92"/>
      <c r="I32" s="92"/>
      <c r="J32" s="92"/>
      <c r="K32" s="92"/>
      <c r="L32" s="92"/>
      <c r="M32" s="92"/>
      <c r="N32" s="92"/>
      <c r="O32" s="92"/>
      <c r="P32" s="92"/>
      <c r="Q32" s="94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ht="12.75" customHeight="1">
      <c r="A33" s="1"/>
      <c r="B33" s="23"/>
      <c r="C33" s="95">
        <v>20.0</v>
      </c>
      <c r="D33" s="96">
        <f t="shared" ref="D33:D39" si="14">Q33</f>
        <v>0</v>
      </c>
      <c r="E33" s="26">
        <f t="shared" ref="E33:E39" si="15">IF(D33&gt;40,(D33-40)*(C33*1.5)+(C33*40),D33*C33)</f>
        <v>0</v>
      </c>
      <c r="F33" s="97">
        <f t="shared" ref="F33:F39" si="16">IF(D33&gt;40,(D33-40)*(C33*0.5),0)</f>
        <v>0</v>
      </c>
      <c r="G33" s="27">
        <f t="shared" ref="G33:G39" si="17">SUM(H33:J33)</f>
        <v>0</v>
      </c>
      <c r="H33" s="26"/>
      <c r="I33" s="26"/>
      <c r="J33" s="26"/>
      <c r="K33" s="31"/>
      <c r="L33" s="29">
        <f t="shared" ref="L33:L40" si="18">IFERROR(K33/Q33,0)</f>
        <v>0</v>
      </c>
      <c r="M33" s="31"/>
      <c r="N33" s="29">
        <f t="shared" ref="N33:N40" si="19">IFERROR(M33/Q33,0)</f>
        <v>0</v>
      </c>
      <c r="O33" s="31"/>
      <c r="P33" s="29">
        <f t="shared" ref="P33:P40" si="20">IFERROR(O33/Q33,0)</f>
        <v>0</v>
      </c>
      <c r="Q33" s="32">
        <f t="shared" ref="Q33:Q39" si="21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>
        <v>1.0</v>
      </c>
      <c r="B34" s="98" t="s">
        <v>37</v>
      </c>
      <c r="C34" s="99">
        <v>17.0</v>
      </c>
      <c r="D34" s="35">
        <f t="shared" si="14"/>
        <v>0</v>
      </c>
      <c r="E34" s="37">
        <f t="shared" si="15"/>
        <v>0</v>
      </c>
      <c r="F34" s="100">
        <f t="shared" si="16"/>
        <v>0</v>
      </c>
      <c r="G34" s="38">
        <f t="shared" si="17"/>
        <v>0</v>
      </c>
      <c r="H34" s="37"/>
      <c r="I34" s="37"/>
      <c r="J34" s="37"/>
      <c r="K34" s="42"/>
      <c r="L34" s="40">
        <f t="shared" si="18"/>
        <v>0</v>
      </c>
      <c r="M34" s="42"/>
      <c r="N34" s="40">
        <f t="shared" si="19"/>
        <v>0</v>
      </c>
      <c r="O34" s="42"/>
      <c r="P34" s="40">
        <f t="shared" si="20"/>
        <v>0</v>
      </c>
      <c r="Q34" s="43">
        <f t="shared" si="21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1">
        <v>2.0</v>
      </c>
      <c r="B35" s="33" t="s">
        <v>38</v>
      </c>
      <c r="C35" s="99">
        <v>16.0</v>
      </c>
      <c r="D35" s="35">
        <f t="shared" si="14"/>
        <v>0</v>
      </c>
      <c r="E35" s="37">
        <f t="shared" si="15"/>
        <v>0</v>
      </c>
      <c r="F35" s="100">
        <f t="shared" si="16"/>
        <v>0</v>
      </c>
      <c r="G35" s="38">
        <f t="shared" si="17"/>
        <v>0</v>
      </c>
      <c r="H35" s="37"/>
      <c r="I35" s="37"/>
      <c r="J35" s="37"/>
      <c r="K35" s="42"/>
      <c r="L35" s="40">
        <f t="shared" si="18"/>
        <v>0</v>
      </c>
      <c r="M35" s="42"/>
      <c r="N35" s="40">
        <f t="shared" si="19"/>
        <v>0</v>
      </c>
      <c r="O35" s="42"/>
      <c r="P35" s="40">
        <f t="shared" si="20"/>
        <v>0</v>
      </c>
      <c r="Q35" s="43">
        <f t="shared" si="21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hidden="1" customHeight="1">
      <c r="A36" s="1">
        <f>1+A35</f>
        <v>3</v>
      </c>
      <c r="B36" s="33" t="s">
        <v>39</v>
      </c>
      <c r="C36" s="99">
        <v>21.0</v>
      </c>
      <c r="D36" s="35">
        <f t="shared" si="14"/>
        <v>0</v>
      </c>
      <c r="E36" s="37">
        <f t="shared" si="15"/>
        <v>0</v>
      </c>
      <c r="F36" s="100">
        <f t="shared" si="16"/>
        <v>0</v>
      </c>
      <c r="G36" s="38">
        <f t="shared" si="17"/>
        <v>0</v>
      </c>
      <c r="H36" s="37"/>
      <c r="I36" s="37"/>
      <c r="J36" s="37"/>
      <c r="K36" s="42"/>
      <c r="L36" s="40">
        <f t="shared" si="18"/>
        <v>0</v>
      </c>
      <c r="M36" s="42"/>
      <c r="N36" s="40">
        <f t="shared" si="19"/>
        <v>0</v>
      </c>
      <c r="O36" s="42"/>
      <c r="P36" s="40">
        <f t="shared" si="20"/>
        <v>0</v>
      </c>
      <c r="Q36" s="43">
        <f t="shared" si="21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1">
        <v>3.0</v>
      </c>
      <c r="B37" s="33" t="s">
        <v>40</v>
      </c>
      <c r="C37" s="99">
        <v>15.0</v>
      </c>
      <c r="D37" s="35">
        <f t="shared" si="14"/>
        <v>0</v>
      </c>
      <c r="E37" s="37">
        <f t="shared" si="15"/>
        <v>0</v>
      </c>
      <c r="F37" s="100">
        <f t="shared" si="16"/>
        <v>0</v>
      </c>
      <c r="G37" s="38">
        <f t="shared" si="17"/>
        <v>0</v>
      </c>
      <c r="H37" s="37"/>
      <c r="I37" s="37"/>
      <c r="J37" s="37"/>
      <c r="K37" s="42"/>
      <c r="L37" s="40">
        <f t="shared" si="18"/>
        <v>0</v>
      </c>
      <c r="M37" s="42"/>
      <c r="N37" s="40">
        <f t="shared" si="19"/>
        <v>0</v>
      </c>
      <c r="O37" s="42"/>
      <c r="P37" s="40">
        <f t="shared" si="20"/>
        <v>0</v>
      </c>
      <c r="Q37" s="43">
        <f t="shared" si="21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hidden="1" customHeight="1">
      <c r="A38" s="1">
        <f>1+A37</f>
        <v>4</v>
      </c>
      <c r="B38" s="33" t="s">
        <v>41</v>
      </c>
      <c r="C38" s="99">
        <v>18.0</v>
      </c>
      <c r="D38" s="35">
        <f t="shared" si="14"/>
        <v>0</v>
      </c>
      <c r="E38" s="37">
        <f t="shared" si="15"/>
        <v>0</v>
      </c>
      <c r="F38" s="100">
        <f t="shared" si="16"/>
        <v>0</v>
      </c>
      <c r="G38" s="38">
        <f t="shared" si="17"/>
        <v>0</v>
      </c>
      <c r="H38" s="37"/>
      <c r="I38" s="37"/>
      <c r="J38" s="37"/>
      <c r="K38" s="42"/>
      <c r="L38" s="40">
        <f t="shared" si="18"/>
        <v>0</v>
      </c>
      <c r="M38" s="42"/>
      <c r="N38" s="40">
        <f t="shared" si="19"/>
        <v>0</v>
      </c>
      <c r="O38" s="42"/>
      <c r="P38" s="40">
        <f t="shared" si="20"/>
        <v>0</v>
      </c>
      <c r="Q38" s="43">
        <f t="shared" si="21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hidden="1" customHeight="1">
      <c r="A39" s="1"/>
      <c r="B39" s="44"/>
      <c r="C39" s="99">
        <v>20.0</v>
      </c>
      <c r="D39" s="35">
        <f t="shared" si="14"/>
        <v>0</v>
      </c>
      <c r="E39" s="37">
        <f t="shared" si="15"/>
        <v>0</v>
      </c>
      <c r="F39" s="100">
        <f t="shared" si="16"/>
        <v>0</v>
      </c>
      <c r="G39" s="58">
        <f t="shared" si="17"/>
        <v>0</v>
      </c>
      <c r="H39" s="57"/>
      <c r="I39" s="57"/>
      <c r="J39" s="57"/>
      <c r="K39" s="62"/>
      <c r="L39" s="60">
        <f t="shared" si="18"/>
        <v>0</v>
      </c>
      <c r="M39" s="62"/>
      <c r="N39" s="60">
        <f t="shared" si="19"/>
        <v>0</v>
      </c>
      <c r="O39" s="62"/>
      <c r="P39" s="60">
        <f t="shared" si="20"/>
        <v>0</v>
      </c>
      <c r="Q39" s="101">
        <f t="shared" si="21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16"/>
      <c r="B40" s="64" t="s">
        <v>2</v>
      </c>
      <c r="C40" s="65"/>
      <c r="D40" s="66">
        <f t="shared" ref="D40:K40" si="22">SUM(D33:D39)</f>
        <v>0</v>
      </c>
      <c r="E40" s="67">
        <f t="shared" si="22"/>
        <v>0</v>
      </c>
      <c r="F40" s="102">
        <f t="shared" si="22"/>
        <v>0</v>
      </c>
      <c r="G40" s="103">
        <f t="shared" si="22"/>
        <v>0</v>
      </c>
      <c r="H40" s="102">
        <f t="shared" si="22"/>
        <v>0</v>
      </c>
      <c r="I40" s="102">
        <f t="shared" si="22"/>
        <v>0</v>
      </c>
      <c r="J40" s="102">
        <f t="shared" si="22"/>
        <v>0</v>
      </c>
      <c r="K40" s="102">
        <f t="shared" si="22"/>
        <v>0</v>
      </c>
      <c r="L40" s="60">
        <f t="shared" si="18"/>
        <v>0</v>
      </c>
      <c r="M40" s="104">
        <f>SUM(M33:M39)</f>
        <v>0</v>
      </c>
      <c r="N40" s="60">
        <f t="shared" si="19"/>
        <v>0</v>
      </c>
      <c r="O40" s="104">
        <f>SUM(O33:O39)</f>
        <v>0</v>
      </c>
      <c r="P40" s="60">
        <f t="shared" si="20"/>
        <v>0</v>
      </c>
      <c r="Q40" s="105">
        <f>SUM(Q33:Q39)</f>
        <v>0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2.75" customHeight="1">
      <c r="A41" s="1"/>
      <c r="B41" s="106" t="s">
        <v>34</v>
      </c>
      <c r="C41" s="2"/>
      <c r="D41" s="75"/>
      <c r="E41" s="107"/>
      <c r="F41" s="107"/>
      <c r="G41" s="108"/>
      <c r="H41" s="107"/>
      <c r="I41" s="107"/>
      <c r="J41" s="107"/>
      <c r="K41" s="76"/>
      <c r="L41" s="76"/>
      <c r="M41" s="76"/>
      <c r="N41" s="76"/>
      <c r="O41" s="76"/>
      <c r="P41" s="76"/>
      <c r="Q41" s="7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1"/>
      <c r="B42" s="6" t="s">
        <v>35</v>
      </c>
      <c r="C42" s="2"/>
      <c r="D42" s="75"/>
      <c r="E42" s="77">
        <f>E40+G40</f>
        <v>0</v>
      </c>
      <c r="F42" s="77"/>
      <c r="G42" s="78">
        <f>SUM(H42:J42)/1.24</f>
        <v>0</v>
      </c>
      <c r="H42" s="79">
        <f t="shared" ref="H42:J42" si="23">H40*1.24</f>
        <v>0</v>
      </c>
      <c r="I42" s="79">
        <f t="shared" si="23"/>
        <v>0</v>
      </c>
      <c r="J42" s="79">
        <f t="shared" si="23"/>
        <v>0</v>
      </c>
      <c r="K42" s="109">
        <f>SUMPRODUCT(E33:E39,L33:L39)*1.24</f>
        <v>0</v>
      </c>
      <c r="L42" s="110"/>
      <c r="M42" s="109">
        <f>SUMPRODUCT(E33:E39,N33:N39)*1.24</f>
        <v>0</v>
      </c>
      <c r="N42" s="110"/>
      <c r="O42" s="109">
        <f>SUMPRODUCT(E33:E39,P33:P39)*1.24</f>
        <v>0</v>
      </c>
      <c r="P42" s="110"/>
      <c r="Q42" s="111">
        <f>(K42+M42+O42)/1.24</f>
        <v>0</v>
      </c>
      <c r="R42" s="77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1"/>
      <c r="B43" s="86"/>
      <c r="C43" s="2"/>
      <c r="D43" s="75"/>
      <c r="E43" s="77">
        <f>G42+Q42</f>
        <v>0</v>
      </c>
      <c r="F43" s="107"/>
      <c r="G43" s="108"/>
      <c r="H43" s="107"/>
      <c r="I43" s="107"/>
      <c r="J43" s="107"/>
      <c r="K43" s="110"/>
      <c r="L43" s="110"/>
      <c r="M43" s="110"/>
      <c r="N43" s="110"/>
      <c r="O43" s="110"/>
      <c r="P43" s="110"/>
      <c r="Q43" s="11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1"/>
      <c r="B44" s="86"/>
      <c r="C44" s="2"/>
      <c r="D44" s="75"/>
      <c r="E44" s="77"/>
      <c r="F44" s="107"/>
      <c r="G44" s="108"/>
      <c r="H44" s="107"/>
      <c r="I44" s="107"/>
      <c r="J44" s="107"/>
      <c r="K44" s="110"/>
      <c r="L44" s="110"/>
      <c r="M44" s="110"/>
      <c r="N44" s="110"/>
      <c r="O44" s="110"/>
      <c r="P44" s="77"/>
      <c r="Q44" s="11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1"/>
      <c r="B45" s="2"/>
      <c r="C45" s="2"/>
      <c r="D45" s="75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16"/>
      <c r="B46" s="89" t="s">
        <v>42</v>
      </c>
      <c r="C46" s="112"/>
      <c r="D46" s="113"/>
      <c r="E46" s="112"/>
      <c r="F46" s="112"/>
      <c r="G46" s="114"/>
      <c r="H46" s="112"/>
      <c r="I46" s="112"/>
      <c r="J46" s="112"/>
      <c r="K46" s="115"/>
      <c r="L46" s="115"/>
      <c r="M46" s="115"/>
      <c r="N46" s="115"/>
      <c r="O46" s="115"/>
      <c r="P46" s="115"/>
      <c r="Q46" s="116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ht="12.75" customHeight="1">
      <c r="A47" s="1">
        <v>1.0</v>
      </c>
      <c r="B47" s="117" t="s">
        <v>43</v>
      </c>
      <c r="C47" s="95">
        <v>17.0</v>
      </c>
      <c r="D47" s="118">
        <f t="shared" ref="D47:D56" si="24">Q47</f>
        <v>0</v>
      </c>
      <c r="E47" s="26">
        <f t="shared" ref="E47:E56" si="25">IF(D47&gt;40,(D47-40)*(C47*1.5)+(C47*40),D47*C47)</f>
        <v>0</v>
      </c>
      <c r="F47" s="119">
        <f t="shared" ref="F47:F56" si="26">IF(D47&gt;40,(D47-40)*(C47*0.5),0)</f>
        <v>0</v>
      </c>
      <c r="G47" s="27">
        <f t="shared" ref="G47:G56" si="27">SUM(H47:J47)</f>
        <v>0</v>
      </c>
      <c r="H47" s="26"/>
      <c r="I47" s="26"/>
      <c r="J47" s="26"/>
      <c r="K47" s="31"/>
      <c r="L47" s="29">
        <f t="shared" ref="L47:L57" si="28">IFERROR(K47/Q47,0)</f>
        <v>0</v>
      </c>
      <c r="M47" s="31"/>
      <c r="N47" s="29">
        <f t="shared" ref="N47:N57" si="29">IFERROR(M47/Q47,0)</f>
        <v>0</v>
      </c>
      <c r="O47" s="31"/>
      <c r="P47" s="29">
        <f t="shared" ref="P47:P57" si="30">IFERROR(O47/Q47,0)</f>
        <v>0</v>
      </c>
      <c r="Q47" s="32">
        <f t="shared" ref="Q47:Q56" si="31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1">
        <f>A47+1</f>
        <v>2</v>
      </c>
      <c r="B48" s="120" t="s">
        <v>44</v>
      </c>
      <c r="C48" s="99">
        <v>17.0</v>
      </c>
      <c r="D48" s="121">
        <f t="shared" si="24"/>
        <v>0</v>
      </c>
      <c r="E48" s="37">
        <f t="shared" si="25"/>
        <v>0</v>
      </c>
      <c r="F48" s="36">
        <f t="shared" si="26"/>
        <v>0</v>
      </c>
      <c r="G48" s="122">
        <f t="shared" si="27"/>
        <v>0</v>
      </c>
      <c r="H48" s="37"/>
      <c r="I48" s="37"/>
      <c r="J48" s="37"/>
      <c r="K48" s="48"/>
      <c r="L48" s="123">
        <f t="shared" si="28"/>
        <v>0</v>
      </c>
      <c r="M48" s="48"/>
      <c r="N48" s="123">
        <f t="shared" si="29"/>
        <v>0</v>
      </c>
      <c r="O48" s="48"/>
      <c r="P48" s="123">
        <f t="shared" si="30"/>
        <v>0</v>
      </c>
      <c r="Q48" s="124">
        <f t="shared" si="31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1">
        <f t="shared" ref="A49:A56" si="32">1+A48</f>
        <v>3</v>
      </c>
      <c r="B49" s="120" t="s">
        <v>45</v>
      </c>
      <c r="C49" s="99">
        <v>17.0</v>
      </c>
      <c r="D49" s="121">
        <f t="shared" si="24"/>
        <v>0</v>
      </c>
      <c r="E49" s="37">
        <f t="shared" si="25"/>
        <v>0</v>
      </c>
      <c r="F49" s="36">
        <f t="shared" si="26"/>
        <v>0</v>
      </c>
      <c r="G49" s="122">
        <f t="shared" si="27"/>
        <v>0</v>
      </c>
      <c r="H49" s="37"/>
      <c r="I49" s="37"/>
      <c r="J49" s="37"/>
      <c r="K49" s="48"/>
      <c r="L49" s="123">
        <f t="shared" si="28"/>
        <v>0</v>
      </c>
      <c r="M49" s="48"/>
      <c r="N49" s="123">
        <f t="shared" si="29"/>
        <v>0</v>
      </c>
      <c r="O49" s="48"/>
      <c r="P49" s="123">
        <f t="shared" si="30"/>
        <v>0</v>
      </c>
      <c r="Q49" s="124">
        <f t="shared" si="31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1">
        <f t="shared" si="32"/>
        <v>4</v>
      </c>
      <c r="B50" s="125" t="s">
        <v>46</v>
      </c>
      <c r="C50" s="99">
        <v>19.0</v>
      </c>
      <c r="D50" s="121">
        <f t="shared" si="24"/>
        <v>0</v>
      </c>
      <c r="E50" s="37">
        <f t="shared" si="25"/>
        <v>0</v>
      </c>
      <c r="F50" s="36">
        <f t="shared" si="26"/>
        <v>0</v>
      </c>
      <c r="G50" s="122">
        <f t="shared" si="27"/>
        <v>0</v>
      </c>
      <c r="H50" s="37"/>
      <c r="I50" s="37"/>
      <c r="J50" s="37"/>
      <c r="K50" s="48"/>
      <c r="L50" s="123">
        <f t="shared" si="28"/>
        <v>0</v>
      </c>
      <c r="M50" s="48"/>
      <c r="N50" s="123">
        <f t="shared" si="29"/>
        <v>0</v>
      </c>
      <c r="O50" s="48"/>
      <c r="P50" s="123">
        <f t="shared" si="30"/>
        <v>0</v>
      </c>
      <c r="Q50" s="124">
        <f t="shared" si="31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1">
        <f t="shared" si="32"/>
        <v>5</v>
      </c>
      <c r="B51" s="125" t="s">
        <v>47</v>
      </c>
      <c r="C51" s="99">
        <v>18.0</v>
      </c>
      <c r="D51" s="121">
        <f t="shared" si="24"/>
        <v>0</v>
      </c>
      <c r="E51" s="37">
        <f t="shared" si="25"/>
        <v>0</v>
      </c>
      <c r="F51" s="36">
        <f t="shared" si="26"/>
        <v>0</v>
      </c>
      <c r="G51" s="122">
        <f t="shared" si="27"/>
        <v>0</v>
      </c>
      <c r="H51" s="37"/>
      <c r="I51" s="37"/>
      <c r="J51" s="37"/>
      <c r="K51" s="48"/>
      <c r="L51" s="123">
        <f t="shared" si="28"/>
        <v>0</v>
      </c>
      <c r="M51" s="48"/>
      <c r="N51" s="123">
        <f t="shared" si="29"/>
        <v>0</v>
      </c>
      <c r="O51" s="48"/>
      <c r="P51" s="123">
        <f t="shared" si="30"/>
        <v>0</v>
      </c>
      <c r="Q51" s="124">
        <f t="shared" si="31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1">
        <f t="shared" si="32"/>
        <v>6</v>
      </c>
      <c r="B52" s="125" t="s">
        <v>48</v>
      </c>
      <c r="C52" s="99">
        <v>20.0</v>
      </c>
      <c r="D52" s="121">
        <f t="shared" si="24"/>
        <v>0</v>
      </c>
      <c r="E52" s="37">
        <f t="shared" si="25"/>
        <v>0</v>
      </c>
      <c r="F52" s="36">
        <f t="shared" si="26"/>
        <v>0</v>
      </c>
      <c r="G52" s="122">
        <f t="shared" si="27"/>
        <v>0</v>
      </c>
      <c r="H52" s="37"/>
      <c r="I52" s="37"/>
      <c r="J52" s="37"/>
      <c r="K52" s="48"/>
      <c r="L52" s="123">
        <f t="shared" si="28"/>
        <v>0</v>
      </c>
      <c r="M52" s="48"/>
      <c r="N52" s="123">
        <f t="shared" si="29"/>
        <v>0</v>
      </c>
      <c r="O52" s="48"/>
      <c r="P52" s="123">
        <f t="shared" si="30"/>
        <v>0</v>
      </c>
      <c r="Q52" s="124">
        <f t="shared" si="31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1">
        <f t="shared" si="32"/>
        <v>7</v>
      </c>
      <c r="B53" s="125" t="s">
        <v>49</v>
      </c>
      <c r="C53" s="99">
        <v>17.0</v>
      </c>
      <c r="D53" s="121">
        <f t="shared" si="24"/>
        <v>0</v>
      </c>
      <c r="E53" s="37">
        <f t="shared" si="25"/>
        <v>0</v>
      </c>
      <c r="F53" s="36">
        <f t="shared" si="26"/>
        <v>0</v>
      </c>
      <c r="G53" s="122">
        <f t="shared" si="27"/>
        <v>0</v>
      </c>
      <c r="H53" s="37"/>
      <c r="I53" s="37"/>
      <c r="J53" s="37"/>
      <c r="K53" s="48"/>
      <c r="L53" s="123">
        <f t="shared" si="28"/>
        <v>0</v>
      </c>
      <c r="M53" s="48"/>
      <c r="N53" s="123">
        <f t="shared" si="29"/>
        <v>0</v>
      </c>
      <c r="O53" s="48"/>
      <c r="P53" s="123">
        <f t="shared" si="30"/>
        <v>0</v>
      </c>
      <c r="Q53" s="124">
        <f t="shared" si="31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1">
        <f t="shared" si="32"/>
        <v>8</v>
      </c>
      <c r="B54" s="125" t="s">
        <v>50</v>
      </c>
      <c r="C54" s="99">
        <v>17.0</v>
      </c>
      <c r="D54" s="121">
        <f t="shared" si="24"/>
        <v>0</v>
      </c>
      <c r="E54" s="37">
        <f t="shared" si="25"/>
        <v>0</v>
      </c>
      <c r="F54" s="36">
        <f t="shared" si="26"/>
        <v>0</v>
      </c>
      <c r="G54" s="122">
        <f t="shared" si="27"/>
        <v>0</v>
      </c>
      <c r="H54" s="37"/>
      <c r="I54" s="37"/>
      <c r="J54" s="37"/>
      <c r="K54" s="48"/>
      <c r="L54" s="123">
        <f t="shared" si="28"/>
        <v>0</v>
      </c>
      <c r="M54" s="48"/>
      <c r="N54" s="123">
        <f t="shared" si="29"/>
        <v>0</v>
      </c>
      <c r="O54" s="48"/>
      <c r="P54" s="123">
        <f t="shared" si="30"/>
        <v>0</v>
      </c>
      <c r="Q54" s="124">
        <f t="shared" si="31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1">
        <f t="shared" si="32"/>
        <v>9</v>
      </c>
      <c r="B55" s="120" t="s">
        <v>51</v>
      </c>
      <c r="C55" s="99">
        <v>17.0</v>
      </c>
      <c r="D55" s="121">
        <f t="shared" si="24"/>
        <v>0</v>
      </c>
      <c r="E55" s="37">
        <f t="shared" si="25"/>
        <v>0</v>
      </c>
      <c r="F55" s="100">
        <f t="shared" si="26"/>
        <v>0</v>
      </c>
      <c r="G55" s="126">
        <f t="shared" si="27"/>
        <v>0</v>
      </c>
      <c r="H55" s="37"/>
      <c r="I55" s="37"/>
      <c r="J55" s="37"/>
      <c r="K55" s="48"/>
      <c r="L55" s="123">
        <f t="shared" si="28"/>
        <v>0</v>
      </c>
      <c r="M55" s="48"/>
      <c r="N55" s="123">
        <f t="shared" si="29"/>
        <v>0</v>
      </c>
      <c r="O55" s="48"/>
      <c r="P55" s="123">
        <f t="shared" si="30"/>
        <v>0</v>
      </c>
      <c r="Q55" s="124">
        <f t="shared" si="31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1">
        <f t="shared" si="32"/>
        <v>10</v>
      </c>
      <c r="B56" s="125" t="s">
        <v>52</v>
      </c>
      <c r="C56" s="99">
        <v>17.0</v>
      </c>
      <c r="D56" s="121">
        <f t="shared" si="24"/>
        <v>0</v>
      </c>
      <c r="E56" s="37">
        <f t="shared" si="25"/>
        <v>0</v>
      </c>
      <c r="F56" s="100">
        <f t="shared" si="26"/>
        <v>0</v>
      </c>
      <c r="G56" s="126">
        <f t="shared" si="27"/>
        <v>0</v>
      </c>
      <c r="H56" s="50"/>
      <c r="I56" s="50"/>
      <c r="J56" s="50"/>
      <c r="K56" s="48"/>
      <c r="L56" s="123">
        <f t="shared" si="28"/>
        <v>0</v>
      </c>
      <c r="M56" s="48"/>
      <c r="N56" s="123">
        <f t="shared" si="29"/>
        <v>0</v>
      </c>
      <c r="O56" s="48"/>
      <c r="P56" s="123">
        <f t="shared" si="30"/>
        <v>0</v>
      </c>
      <c r="Q56" s="127">
        <f t="shared" si="31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16"/>
      <c r="B57" s="128" t="s">
        <v>2</v>
      </c>
      <c r="C57" s="129"/>
      <c r="D57" s="130">
        <f t="shared" ref="D57:K57" si="33">SUM(D47:D56)</f>
        <v>0</v>
      </c>
      <c r="E57" s="67">
        <f t="shared" si="33"/>
        <v>0</v>
      </c>
      <c r="F57" s="102">
        <f t="shared" si="33"/>
        <v>0</v>
      </c>
      <c r="G57" s="103">
        <f t="shared" si="33"/>
        <v>0</v>
      </c>
      <c r="H57" s="102">
        <f t="shared" si="33"/>
        <v>0</v>
      </c>
      <c r="I57" s="102">
        <f t="shared" si="33"/>
        <v>0</v>
      </c>
      <c r="J57" s="102">
        <f t="shared" si="33"/>
        <v>0</v>
      </c>
      <c r="K57" s="104">
        <f t="shared" si="33"/>
        <v>0</v>
      </c>
      <c r="L57" s="131">
        <f t="shared" si="28"/>
        <v>0</v>
      </c>
      <c r="M57" s="104">
        <f>SUM(M47:M56)</f>
        <v>0</v>
      </c>
      <c r="N57" s="131">
        <f t="shared" si="29"/>
        <v>0</v>
      </c>
      <c r="O57" s="104">
        <f>SUM(O47:O56)</f>
        <v>0</v>
      </c>
      <c r="P57" s="131">
        <f t="shared" si="30"/>
        <v>0</v>
      </c>
      <c r="Q57" s="72">
        <f>SUM(Q47:Q56)</f>
        <v>0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ht="12.75" customHeight="1">
      <c r="A58" s="1"/>
      <c r="B58" s="74" t="s">
        <v>34</v>
      </c>
      <c r="C58" s="2"/>
      <c r="D58" s="75"/>
      <c r="E58" s="77"/>
      <c r="F58" s="77"/>
      <c r="G58" s="132"/>
      <c r="H58" s="77"/>
      <c r="I58" s="77"/>
      <c r="J58" s="77"/>
      <c r="K58" s="76"/>
      <c r="L58" s="76"/>
      <c r="M58" s="76"/>
      <c r="N58" s="76"/>
      <c r="O58" s="76"/>
      <c r="P58" s="76"/>
      <c r="Q58" s="76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1"/>
      <c r="B59" s="6" t="s">
        <v>35</v>
      </c>
      <c r="C59" s="2"/>
      <c r="D59" s="75"/>
      <c r="E59" s="77">
        <f>E57+G57</f>
        <v>0</v>
      </c>
      <c r="F59" s="77"/>
      <c r="G59" s="78">
        <f>SUM(H59:J59)/1.18</f>
        <v>0</v>
      </c>
      <c r="H59" s="79">
        <f t="shared" ref="H59:J59" si="34">H57*1.18</f>
        <v>0</v>
      </c>
      <c r="I59" s="79">
        <f t="shared" si="34"/>
        <v>0</v>
      </c>
      <c r="J59" s="79">
        <f t="shared" si="34"/>
        <v>0</v>
      </c>
      <c r="K59" s="109">
        <f>SUMPRODUCT(E47:E56,L47:L56)*1.18</f>
        <v>0</v>
      </c>
      <c r="L59" s="110"/>
      <c r="M59" s="109">
        <f>SUMPRODUCT(E47:E56,N47:N56)*1.18</f>
        <v>0</v>
      </c>
      <c r="N59" s="110"/>
      <c r="O59" s="109">
        <f>SUMPRODUCT(E47:E56,P47:P56)*1.18</f>
        <v>0</v>
      </c>
      <c r="P59" s="110"/>
      <c r="Q59" s="111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1"/>
      <c r="B60" s="86"/>
      <c r="C60" s="2"/>
      <c r="D60" s="75"/>
      <c r="E60" s="77">
        <f>G59+Q59</f>
        <v>0</v>
      </c>
      <c r="F60" s="77"/>
      <c r="G60" s="132"/>
      <c r="H60" s="77"/>
      <c r="I60" s="77"/>
      <c r="J60" s="77"/>
      <c r="K60" s="85"/>
      <c r="L60" s="85"/>
      <c r="M60" s="85"/>
      <c r="N60" s="85"/>
      <c r="O60" s="85"/>
      <c r="P60" s="85"/>
      <c r="Q60" s="8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1"/>
      <c r="B61" s="86"/>
      <c r="C61" s="2"/>
      <c r="D61" s="75"/>
      <c r="E61" s="77"/>
      <c r="F61" s="77"/>
      <c r="G61" s="132"/>
      <c r="H61" s="77"/>
      <c r="I61" s="77"/>
      <c r="J61" s="77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1"/>
      <c r="B62" s="2"/>
      <c r="C62" s="2"/>
      <c r="D62" s="75"/>
      <c r="E62" s="77"/>
      <c r="F62" s="77"/>
      <c r="G62" s="132"/>
      <c r="H62" s="77"/>
      <c r="I62" s="77"/>
      <c r="J62" s="77"/>
      <c r="K62" s="133"/>
      <c r="L62" s="133"/>
      <c r="M62" s="133"/>
      <c r="N62" s="133"/>
      <c r="O62" s="133"/>
      <c r="P62" s="133"/>
      <c r="Q62" s="107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16"/>
      <c r="B63" s="134" t="s">
        <v>53</v>
      </c>
      <c r="C63" s="135"/>
      <c r="D63" s="136"/>
      <c r="E63" s="135"/>
      <c r="F63" s="135"/>
      <c r="G63" s="137"/>
      <c r="H63" s="135"/>
      <c r="I63" s="135"/>
      <c r="J63" s="135"/>
      <c r="K63" s="138"/>
      <c r="L63" s="138"/>
      <c r="M63" s="138"/>
      <c r="N63" s="138"/>
      <c r="O63" s="138"/>
      <c r="P63" s="138"/>
      <c r="Q63" s="139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ht="12.75" hidden="1" customHeight="1">
      <c r="A64" s="1"/>
      <c r="B64" s="140"/>
      <c r="C64" s="141"/>
      <c r="D64" s="35">
        <f t="shared" ref="D64:D75" si="35">Q64</f>
        <v>0</v>
      </c>
      <c r="E64" s="37">
        <f t="shared" ref="E64:E85" si="36">IF(D64&gt;40,(D64-40)*(C64*1.5)+(C64*40),D64*C64)</f>
        <v>0</v>
      </c>
      <c r="F64" s="37">
        <f t="shared" ref="F64:F75" si="37">IF(D64&gt;40,(D64-40)*(C64*0.5),0)</f>
        <v>0</v>
      </c>
      <c r="G64" s="38">
        <f t="shared" ref="G64:G75" si="38">SUM(H64:J64)</f>
        <v>0</v>
      </c>
      <c r="H64" s="37"/>
      <c r="I64" s="37"/>
      <c r="J64" s="37"/>
      <c r="K64" s="42"/>
      <c r="L64" s="40">
        <f t="shared" ref="L64:L86" si="39">IFERROR(K64/Q64,0)</f>
        <v>0</v>
      </c>
      <c r="M64" s="42"/>
      <c r="N64" s="40">
        <f t="shared" ref="N64:N86" si="40">IFERROR(M64/Q64,0)</f>
        <v>0</v>
      </c>
      <c r="O64" s="42"/>
      <c r="P64" s="40">
        <f t="shared" ref="P64:P86" si="41">IFERROR(O64/Q64,0)</f>
        <v>0</v>
      </c>
      <c r="Q64" s="43">
        <f t="shared" ref="Q64:Q75" si="42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1">
        <f t="shared" ref="A65:A72" si="43">1+A64</f>
        <v>1</v>
      </c>
      <c r="B65" s="140" t="s">
        <v>54</v>
      </c>
      <c r="C65" s="141">
        <v>17.0</v>
      </c>
      <c r="D65" s="35">
        <f t="shared" si="35"/>
        <v>0</v>
      </c>
      <c r="E65" s="37">
        <f t="shared" si="36"/>
        <v>0</v>
      </c>
      <c r="F65" s="37">
        <f t="shared" si="37"/>
        <v>0</v>
      </c>
      <c r="G65" s="38">
        <f t="shared" si="38"/>
        <v>0</v>
      </c>
      <c r="H65" s="37"/>
      <c r="I65" s="142"/>
      <c r="J65" s="142"/>
      <c r="K65" s="42"/>
      <c r="L65" s="40">
        <f t="shared" si="39"/>
        <v>0</v>
      </c>
      <c r="M65" s="42"/>
      <c r="N65" s="40">
        <f t="shared" si="40"/>
        <v>0</v>
      </c>
      <c r="O65" s="42"/>
      <c r="P65" s="40">
        <f t="shared" si="41"/>
        <v>0</v>
      </c>
      <c r="Q65" s="43">
        <f t="shared" si="42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1">
        <f t="shared" si="43"/>
        <v>2</v>
      </c>
      <c r="B66" s="143" t="s">
        <v>55</v>
      </c>
      <c r="C66" s="144">
        <v>21.0</v>
      </c>
      <c r="D66" s="35">
        <f t="shared" si="35"/>
        <v>0</v>
      </c>
      <c r="E66" s="37">
        <f t="shared" si="36"/>
        <v>0</v>
      </c>
      <c r="F66" s="37">
        <f t="shared" si="37"/>
        <v>0</v>
      </c>
      <c r="G66" s="38">
        <f t="shared" si="38"/>
        <v>0</v>
      </c>
      <c r="H66" s="37"/>
      <c r="I66" s="145"/>
      <c r="J66" s="145"/>
      <c r="K66" s="42"/>
      <c r="L66" s="40">
        <f t="shared" si="39"/>
        <v>0</v>
      </c>
      <c r="M66" s="42"/>
      <c r="N66" s="40">
        <f t="shared" si="40"/>
        <v>0</v>
      </c>
      <c r="O66" s="42"/>
      <c r="P66" s="40">
        <f t="shared" si="41"/>
        <v>0</v>
      </c>
      <c r="Q66" s="43">
        <f t="shared" si="42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1">
        <f t="shared" si="43"/>
        <v>3</v>
      </c>
      <c r="B67" s="146" t="s">
        <v>56</v>
      </c>
      <c r="C67" s="144">
        <v>17.0</v>
      </c>
      <c r="D67" s="35">
        <f t="shared" si="35"/>
        <v>0</v>
      </c>
      <c r="E67" s="37">
        <f t="shared" si="36"/>
        <v>0</v>
      </c>
      <c r="F67" s="37">
        <f t="shared" si="37"/>
        <v>0</v>
      </c>
      <c r="G67" s="38">
        <f t="shared" si="38"/>
        <v>0</v>
      </c>
      <c r="H67" s="50"/>
      <c r="I67" s="142"/>
      <c r="J67" s="142"/>
      <c r="K67" s="53"/>
      <c r="L67" s="147">
        <f t="shared" si="39"/>
        <v>0</v>
      </c>
      <c r="M67" s="53"/>
      <c r="N67" s="147">
        <f t="shared" si="40"/>
        <v>0</v>
      </c>
      <c r="O67" s="53"/>
      <c r="P67" s="147">
        <f t="shared" si="41"/>
        <v>0</v>
      </c>
      <c r="Q67" s="43">
        <f t="shared" si="42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1">
        <f t="shared" si="43"/>
        <v>4</v>
      </c>
      <c r="B68" s="146" t="s">
        <v>57</v>
      </c>
      <c r="C68" s="144">
        <v>19.0</v>
      </c>
      <c r="D68" s="35">
        <f t="shared" si="35"/>
        <v>0</v>
      </c>
      <c r="E68" s="37">
        <f t="shared" si="36"/>
        <v>0</v>
      </c>
      <c r="F68" s="37">
        <f t="shared" si="37"/>
        <v>0</v>
      </c>
      <c r="G68" s="38">
        <f t="shared" si="38"/>
        <v>0</v>
      </c>
      <c r="H68" s="50"/>
      <c r="I68" s="148"/>
      <c r="J68" s="148"/>
      <c r="K68" s="53"/>
      <c r="L68" s="147">
        <f t="shared" si="39"/>
        <v>0</v>
      </c>
      <c r="M68" s="53"/>
      <c r="N68" s="147">
        <f t="shared" si="40"/>
        <v>0</v>
      </c>
      <c r="O68" s="53"/>
      <c r="P68" s="147">
        <f t="shared" si="41"/>
        <v>0</v>
      </c>
      <c r="Q68" s="43">
        <f t="shared" si="42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1">
        <f t="shared" si="43"/>
        <v>5</v>
      </c>
      <c r="B69" s="140" t="s">
        <v>58</v>
      </c>
      <c r="C69" s="141">
        <v>18.0</v>
      </c>
      <c r="D69" s="35">
        <f t="shared" si="35"/>
        <v>0</v>
      </c>
      <c r="E69" s="37">
        <f t="shared" si="36"/>
        <v>0</v>
      </c>
      <c r="F69" s="37">
        <f t="shared" si="37"/>
        <v>0</v>
      </c>
      <c r="G69" s="38">
        <f t="shared" si="38"/>
        <v>0</v>
      </c>
      <c r="H69" s="50"/>
      <c r="I69" s="148"/>
      <c r="J69" s="148"/>
      <c r="K69" s="53"/>
      <c r="L69" s="147">
        <f t="shared" si="39"/>
        <v>0</v>
      </c>
      <c r="M69" s="53"/>
      <c r="N69" s="147">
        <f t="shared" si="40"/>
        <v>0</v>
      </c>
      <c r="O69" s="53"/>
      <c r="P69" s="147">
        <f t="shared" si="41"/>
        <v>0</v>
      </c>
      <c r="Q69" s="43">
        <f t="shared" si="42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1">
        <f t="shared" si="43"/>
        <v>6</v>
      </c>
      <c r="B70" s="140" t="s">
        <v>59</v>
      </c>
      <c r="C70" s="141">
        <v>17.0</v>
      </c>
      <c r="D70" s="35">
        <f t="shared" si="35"/>
        <v>0</v>
      </c>
      <c r="E70" s="37">
        <f t="shared" si="36"/>
        <v>0</v>
      </c>
      <c r="F70" s="37">
        <f t="shared" si="37"/>
        <v>0</v>
      </c>
      <c r="G70" s="38">
        <f t="shared" si="38"/>
        <v>0</v>
      </c>
      <c r="H70" s="50"/>
      <c r="I70" s="148"/>
      <c r="J70" s="148"/>
      <c r="K70" s="53"/>
      <c r="L70" s="147">
        <f t="shared" si="39"/>
        <v>0</v>
      </c>
      <c r="M70" s="53"/>
      <c r="N70" s="147">
        <f t="shared" si="40"/>
        <v>0</v>
      </c>
      <c r="O70" s="53"/>
      <c r="P70" s="147">
        <f t="shared" si="41"/>
        <v>0</v>
      </c>
      <c r="Q70" s="43">
        <f t="shared" si="42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1">
        <f t="shared" si="43"/>
        <v>7</v>
      </c>
      <c r="B71" s="143" t="s">
        <v>60</v>
      </c>
      <c r="C71" s="141">
        <v>20.0</v>
      </c>
      <c r="D71" s="35">
        <f t="shared" si="35"/>
        <v>0</v>
      </c>
      <c r="E71" s="37">
        <f t="shared" si="36"/>
        <v>0</v>
      </c>
      <c r="F71" s="37">
        <f t="shared" si="37"/>
        <v>0</v>
      </c>
      <c r="G71" s="38">
        <f t="shared" si="38"/>
        <v>0</v>
      </c>
      <c r="H71" s="50"/>
      <c r="I71" s="148"/>
      <c r="J71" s="148"/>
      <c r="K71" s="53"/>
      <c r="L71" s="147">
        <f t="shared" si="39"/>
        <v>0</v>
      </c>
      <c r="M71" s="53"/>
      <c r="N71" s="147">
        <f t="shared" si="40"/>
        <v>0</v>
      </c>
      <c r="O71" s="53"/>
      <c r="P71" s="147">
        <f t="shared" si="41"/>
        <v>0</v>
      </c>
      <c r="Q71" s="43">
        <f t="shared" si="42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1">
        <f t="shared" si="43"/>
        <v>8</v>
      </c>
      <c r="B72" s="140" t="s">
        <v>61</v>
      </c>
      <c r="C72" s="141">
        <v>20.0</v>
      </c>
      <c r="D72" s="35">
        <f t="shared" si="35"/>
        <v>0</v>
      </c>
      <c r="E72" s="37">
        <f t="shared" si="36"/>
        <v>0</v>
      </c>
      <c r="F72" s="37">
        <f t="shared" si="37"/>
        <v>0</v>
      </c>
      <c r="G72" s="38">
        <f t="shared" si="38"/>
        <v>0</v>
      </c>
      <c r="H72" s="37"/>
      <c r="I72" s="142"/>
      <c r="J72" s="37"/>
      <c r="K72" s="42"/>
      <c r="L72" s="40">
        <f t="shared" si="39"/>
        <v>0</v>
      </c>
      <c r="M72" s="42"/>
      <c r="N72" s="40">
        <f t="shared" si="40"/>
        <v>0</v>
      </c>
      <c r="O72" s="42"/>
      <c r="P72" s="40">
        <f t="shared" si="41"/>
        <v>0</v>
      </c>
      <c r="Q72" s="43">
        <f t="shared" si="42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1"/>
      <c r="B73" s="140"/>
      <c r="C73" s="141"/>
      <c r="D73" s="35">
        <f t="shared" si="35"/>
        <v>0</v>
      </c>
      <c r="E73" s="37">
        <f t="shared" si="36"/>
        <v>0</v>
      </c>
      <c r="F73" s="37">
        <f t="shared" si="37"/>
        <v>0</v>
      </c>
      <c r="G73" s="38">
        <f t="shared" si="38"/>
        <v>0</v>
      </c>
      <c r="H73" s="37"/>
      <c r="I73" s="142"/>
      <c r="J73" s="37"/>
      <c r="K73" s="42"/>
      <c r="L73" s="40">
        <f t="shared" si="39"/>
        <v>0</v>
      </c>
      <c r="M73" s="42"/>
      <c r="N73" s="40">
        <f t="shared" si="40"/>
        <v>0</v>
      </c>
      <c r="O73" s="42"/>
      <c r="P73" s="40">
        <f t="shared" si="41"/>
        <v>0</v>
      </c>
      <c r="Q73" s="43">
        <f t="shared" si="42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hidden="1" customHeight="1">
      <c r="A74" s="1"/>
      <c r="B74" s="140"/>
      <c r="C74" s="144"/>
      <c r="D74" s="35">
        <f t="shared" si="35"/>
        <v>0</v>
      </c>
      <c r="E74" s="37">
        <f t="shared" si="36"/>
        <v>0</v>
      </c>
      <c r="F74" s="37">
        <f t="shared" si="37"/>
        <v>0</v>
      </c>
      <c r="G74" s="38">
        <f t="shared" si="38"/>
        <v>0</v>
      </c>
      <c r="H74" s="45"/>
      <c r="I74" s="45"/>
      <c r="J74" s="45"/>
      <c r="K74" s="48"/>
      <c r="L74" s="123">
        <f t="shared" si="39"/>
        <v>0</v>
      </c>
      <c r="M74" s="48"/>
      <c r="N74" s="123">
        <f t="shared" si="40"/>
        <v>0</v>
      </c>
      <c r="O74" s="48"/>
      <c r="P74" s="123">
        <f t="shared" si="41"/>
        <v>0</v>
      </c>
      <c r="Q74" s="43">
        <f t="shared" si="42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hidden="1" customHeight="1">
      <c r="A75" s="1"/>
      <c r="B75" s="149"/>
      <c r="C75" s="141"/>
      <c r="D75" s="35">
        <f t="shared" si="35"/>
        <v>0</v>
      </c>
      <c r="E75" s="37">
        <f t="shared" si="36"/>
        <v>0</v>
      </c>
      <c r="F75" s="37">
        <f t="shared" si="37"/>
        <v>0</v>
      </c>
      <c r="G75" s="38">
        <f t="shared" si="38"/>
        <v>0</v>
      </c>
      <c r="H75" s="37"/>
      <c r="I75" s="37"/>
      <c r="J75" s="37"/>
      <c r="K75" s="42"/>
      <c r="L75" s="40">
        <f t="shared" si="39"/>
        <v>0</v>
      </c>
      <c r="M75" s="42"/>
      <c r="N75" s="40">
        <f t="shared" si="40"/>
        <v>0</v>
      </c>
      <c r="O75" s="42"/>
      <c r="P75" s="40">
        <f t="shared" si="41"/>
        <v>0</v>
      </c>
      <c r="Q75" s="43">
        <f t="shared" si="42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hidden="1" customHeight="1">
      <c r="A76" s="1">
        <f t="shared" ref="A76:A81" si="44">1+A75</f>
        <v>1</v>
      </c>
      <c r="B76" s="150"/>
      <c r="C76" s="99">
        <v>13.0</v>
      </c>
      <c r="D76" s="35">
        <f t="shared" ref="D76:D85" si="45">SUM(K76:O76)</f>
        <v>0</v>
      </c>
      <c r="E76" s="37">
        <f t="shared" si="36"/>
        <v>0</v>
      </c>
      <c r="F76" s="37"/>
      <c r="G76" s="38"/>
      <c r="H76" s="37"/>
      <c r="I76" s="37"/>
      <c r="J76" s="37"/>
      <c r="K76" s="42"/>
      <c r="L76" s="40">
        <f t="shared" si="39"/>
        <v>0</v>
      </c>
      <c r="M76" s="42"/>
      <c r="N76" s="40">
        <f t="shared" si="40"/>
        <v>0</v>
      </c>
      <c r="O76" s="42"/>
      <c r="P76" s="40">
        <f t="shared" si="41"/>
        <v>0</v>
      </c>
      <c r="Q76" s="43">
        <f t="shared" ref="Q76:Q86" si="46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hidden="1" customHeight="1">
      <c r="A77" s="1">
        <f t="shared" si="44"/>
        <v>2</v>
      </c>
      <c r="B77" s="151"/>
      <c r="C77" s="99">
        <v>13.0</v>
      </c>
      <c r="D77" s="35">
        <f t="shared" si="45"/>
        <v>0</v>
      </c>
      <c r="E77" s="37">
        <f t="shared" si="36"/>
        <v>0</v>
      </c>
      <c r="F77" s="37"/>
      <c r="G77" s="38"/>
      <c r="H77" s="37"/>
      <c r="I77" s="37"/>
      <c r="J77" s="37"/>
      <c r="K77" s="42"/>
      <c r="L77" s="40">
        <f t="shared" si="39"/>
        <v>0</v>
      </c>
      <c r="M77" s="42"/>
      <c r="N77" s="40">
        <f t="shared" si="40"/>
        <v>0</v>
      </c>
      <c r="O77" s="42"/>
      <c r="P77" s="40">
        <f t="shared" si="41"/>
        <v>0</v>
      </c>
      <c r="Q77" s="43">
        <f t="shared" si="46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hidden="1" customHeight="1">
      <c r="A78" s="1">
        <f t="shared" si="44"/>
        <v>3</v>
      </c>
      <c r="B78" s="152"/>
      <c r="C78" s="99">
        <v>13.0</v>
      </c>
      <c r="D78" s="35">
        <f t="shared" si="45"/>
        <v>0</v>
      </c>
      <c r="E78" s="37">
        <f t="shared" si="36"/>
        <v>0</v>
      </c>
      <c r="F78" s="37"/>
      <c r="G78" s="38"/>
      <c r="H78" s="37"/>
      <c r="I78" s="37"/>
      <c r="J78" s="37"/>
      <c r="K78" s="42"/>
      <c r="L78" s="40">
        <f t="shared" si="39"/>
        <v>0</v>
      </c>
      <c r="M78" s="42"/>
      <c r="N78" s="40">
        <f t="shared" si="40"/>
        <v>0</v>
      </c>
      <c r="O78" s="42"/>
      <c r="P78" s="40">
        <f t="shared" si="41"/>
        <v>0</v>
      </c>
      <c r="Q78" s="43">
        <f t="shared" si="46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hidden="1" customHeight="1">
      <c r="A79" s="1">
        <f t="shared" si="44"/>
        <v>4</v>
      </c>
      <c r="B79" s="153"/>
      <c r="C79" s="99">
        <v>13.0</v>
      </c>
      <c r="D79" s="35">
        <f t="shared" si="45"/>
        <v>0</v>
      </c>
      <c r="E79" s="37">
        <f t="shared" si="36"/>
        <v>0</v>
      </c>
      <c r="F79" s="37"/>
      <c r="G79" s="38"/>
      <c r="H79" s="37"/>
      <c r="I79" s="37"/>
      <c r="J79" s="37"/>
      <c r="K79" s="42"/>
      <c r="L79" s="40">
        <f t="shared" si="39"/>
        <v>0</v>
      </c>
      <c r="M79" s="42"/>
      <c r="N79" s="40">
        <f t="shared" si="40"/>
        <v>0</v>
      </c>
      <c r="O79" s="42"/>
      <c r="P79" s="40">
        <f t="shared" si="41"/>
        <v>0</v>
      </c>
      <c r="Q79" s="43">
        <f t="shared" si="46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hidden="1" customHeight="1">
      <c r="A80" s="1">
        <f t="shared" si="44"/>
        <v>5</v>
      </c>
      <c r="B80" s="33"/>
      <c r="C80" s="99">
        <v>13.0</v>
      </c>
      <c r="D80" s="35">
        <f t="shared" si="45"/>
        <v>0</v>
      </c>
      <c r="E80" s="37">
        <f t="shared" si="36"/>
        <v>0</v>
      </c>
      <c r="F80" s="37"/>
      <c r="G80" s="38"/>
      <c r="H80" s="37"/>
      <c r="I80" s="37"/>
      <c r="J80" s="37"/>
      <c r="K80" s="42"/>
      <c r="L80" s="40">
        <f t="shared" si="39"/>
        <v>0</v>
      </c>
      <c r="M80" s="42"/>
      <c r="N80" s="40">
        <f t="shared" si="40"/>
        <v>0</v>
      </c>
      <c r="O80" s="42"/>
      <c r="P80" s="40">
        <f t="shared" si="41"/>
        <v>0</v>
      </c>
      <c r="Q80" s="43">
        <f t="shared" si="46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hidden="1" customHeight="1">
      <c r="A81" s="1">
        <f t="shared" si="44"/>
        <v>6</v>
      </c>
      <c r="B81" s="33"/>
      <c r="C81" s="99"/>
      <c r="D81" s="35">
        <f t="shared" si="45"/>
        <v>0</v>
      </c>
      <c r="E81" s="37">
        <f t="shared" si="36"/>
        <v>0</v>
      </c>
      <c r="F81" s="37"/>
      <c r="G81" s="38"/>
      <c r="H81" s="37"/>
      <c r="I81" s="37"/>
      <c r="J81" s="37"/>
      <c r="K81" s="42"/>
      <c r="L81" s="40">
        <f t="shared" si="39"/>
        <v>0</v>
      </c>
      <c r="M81" s="42"/>
      <c r="N81" s="40">
        <f t="shared" si="40"/>
        <v>0</v>
      </c>
      <c r="O81" s="42"/>
      <c r="P81" s="40">
        <f t="shared" si="41"/>
        <v>0</v>
      </c>
      <c r="Q81" s="43">
        <f t="shared" si="46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hidden="1" customHeight="1">
      <c r="A82" s="1">
        <v>13.0</v>
      </c>
      <c r="B82" s="33"/>
      <c r="C82" s="99"/>
      <c r="D82" s="35">
        <f t="shared" si="45"/>
        <v>0</v>
      </c>
      <c r="E82" s="37">
        <f t="shared" si="36"/>
        <v>0</v>
      </c>
      <c r="F82" s="37"/>
      <c r="G82" s="38"/>
      <c r="H82" s="37"/>
      <c r="I82" s="37"/>
      <c r="J82" s="37"/>
      <c r="K82" s="42"/>
      <c r="L82" s="40">
        <f t="shared" si="39"/>
        <v>0</v>
      </c>
      <c r="M82" s="42"/>
      <c r="N82" s="40">
        <f t="shared" si="40"/>
        <v>0</v>
      </c>
      <c r="O82" s="42"/>
      <c r="P82" s="40">
        <f t="shared" si="41"/>
        <v>0</v>
      </c>
      <c r="Q82" s="43">
        <f t="shared" si="46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hidden="1" customHeight="1">
      <c r="A83" s="1">
        <v>14.0</v>
      </c>
      <c r="B83" s="154"/>
      <c r="C83" s="99"/>
      <c r="D83" s="35">
        <f t="shared" si="45"/>
        <v>0</v>
      </c>
      <c r="E83" s="37">
        <f t="shared" si="36"/>
        <v>0</v>
      </c>
      <c r="F83" s="37"/>
      <c r="G83" s="38"/>
      <c r="H83" s="37"/>
      <c r="I83" s="37"/>
      <c r="J83" s="37"/>
      <c r="K83" s="42"/>
      <c r="L83" s="40">
        <f t="shared" si="39"/>
        <v>0</v>
      </c>
      <c r="M83" s="42"/>
      <c r="N83" s="40">
        <f t="shared" si="40"/>
        <v>0</v>
      </c>
      <c r="O83" s="42"/>
      <c r="P83" s="40">
        <f t="shared" si="41"/>
        <v>0</v>
      </c>
      <c r="Q83" s="43">
        <f t="shared" si="46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hidden="1" customHeight="1">
      <c r="A84" s="1">
        <v>15.0</v>
      </c>
      <c r="B84" s="33"/>
      <c r="C84" s="99"/>
      <c r="D84" s="35">
        <f t="shared" si="45"/>
        <v>0</v>
      </c>
      <c r="E84" s="37">
        <f t="shared" si="36"/>
        <v>0</v>
      </c>
      <c r="F84" s="37"/>
      <c r="G84" s="38"/>
      <c r="H84" s="37"/>
      <c r="I84" s="37"/>
      <c r="J84" s="37"/>
      <c r="K84" s="42"/>
      <c r="L84" s="40">
        <f t="shared" si="39"/>
        <v>0</v>
      </c>
      <c r="M84" s="42"/>
      <c r="N84" s="40">
        <f t="shared" si="40"/>
        <v>0</v>
      </c>
      <c r="O84" s="42"/>
      <c r="P84" s="40">
        <f t="shared" si="41"/>
        <v>0</v>
      </c>
      <c r="Q84" s="43">
        <f t="shared" si="46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hidden="1" customHeight="1">
      <c r="A85" s="1">
        <v>16.0</v>
      </c>
      <c r="B85" s="151"/>
      <c r="C85" s="5"/>
      <c r="D85" s="155">
        <f t="shared" si="45"/>
        <v>0</v>
      </c>
      <c r="E85" s="50">
        <f t="shared" si="36"/>
        <v>0</v>
      </c>
      <c r="F85" s="50"/>
      <c r="G85" s="156"/>
      <c r="H85" s="50"/>
      <c r="I85" s="50"/>
      <c r="J85" s="50"/>
      <c r="K85" s="53"/>
      <c r="L85" s="147">
        <f t="shared" si="39"/>
        <v>0</v>
      </c>
      <c r="M85" s="53"/>
      <c r="N85" s="147">
        <f t="shared" si="40"/>
        <v>0</v>
      </c>
      <c r="O85" s="53"/>
      <c r="P85" s="147">
        <f t="shared" si="41"/>
        <v>0</v>
      </c>
      <c r="Q85" s="63">
        <f t="shared" si="46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16"/>
      <c r="B86" s="157" t="s">
        <v>2</v>
      </c>
      <c r="C86" s="158"/>
      <c r="D86" s="159">
        <f t="shared" ref="D86:K86" si="47">SUM(D64:D85)</f>
        <v>0</v>
      </c>
      <c r="E86" s="102">
        <f t="shared" si="47"/>
        <v>0</v>
      </c>
      <c r="F86" s="102">
        <f t="shared" si="47"/>
        <v>0</v>
      </c>
      <c r="G86" s="103">
        <f t="shared" si="47"/>
        <v>0</v>
      </c>
      <c r="H86" s="102">
        <f t="shared" si="47"/>
        <v>0</v>
      </c>
      <c r="I86" s="102">
        <f t="shared" si="47"/>
        <v>0</v>
      </c>
      <c r="J86" s="102">
        <f t="shared" si="47"/>
        <v>0</v>
      </c>
      <c r="K86" s="104">
        <f t="shared" si="47"/>
        <v>0</v>
      </c>
      <c r="L86" s="131">
        <f t="shared" si="39"/>
        <v>0</v>
      </c>
      <c r="M86" s="104">
        <f>SUM(M64:M85)</f>
        <v>0</v>
      </c>
      <c r="N86" s="131">
        <f t="shared" si="40"/>
        <v>0</v>
      </c>
      <c r="O86" s="104">
        <f>SUM(O64:O85)</f>
        <v>0</v>
      </c>
      <c r="P86" s="131">
        <f t="shared" si="41"/>
        <v>0</v>
      </c>
      <c r="Q86" s="104">
        <f t="shared" si="46"/>
        <v>0</v>
      </c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ht="12.75" customHeight="1">
      <c r="A87" s="1"/>
      <c r="B87" s="74" t="s">
        <v>34</v>
      </c>
      <c r="C87" s="2"/>
      <c r="D87" s="75"/>
      <c r="E87" s="2"/>
      <c r="F87" s="2"/>
      <c r="G87" s="4"/>
      <c r="H87" s="2"/>
      <c r="I87" s="2"/>
      <c r="J87" s="2"/>
      <c r="K87" s="76"/>
      <c r="L87" s="76"/>
      <c r="M87" s="76"/>
      <c r="N87" s="76"/>
      <c r="O87" s="76"/>
      <c r="P87" s="76"/>
      <c r="Q87" s="76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1"/>
      <c r="B88" s="6" t="s">
        <v>35</v>
      </c>
      <c r="C88" s="2"/>
      <c r="D88" s="75"/>
      <c r="E88" s="77">
        <f>E86+G86</f>
        <v>0</v>
      </c>
      <c r="F88" s="77"/>
      <c r="G88" s="78">
        <f>SUM(H88:J88)/1.18</f>
        <v>0</v>
      </c>
      <c r="H88" s="79">
        <f t="shared" ref="H88:J88" si="48">H86*1.18</f>
        <v>0</v>
      </c>
      <c r="I88" s="79">
        <f t="shared" si="48"/>
        <v>0</v>
      </c>
      <c r="J88" s="79">
        <f t="shared" si="48"/>
        <v>0</v>
      </c>
      <c r="K88" s="109">
        <f>SUMPRODUCT(E64:E85,L64:L85)*1.18</f>
        <v>0</v>
      </c>
      <c r="L88" s="110"/>
      <c r="M88" s="109">
        <f>SUMPRODUCT(E64:E85,N64:N85)*1.18</f>
        <v>0</v>
      </c>
      <c r="N88" s="110"/>
      <c r="O88" s="109">
        <f>SUMPRODUCT(E64:E85,P64:P85)*1.18</f>
        <v>0</v>
      </c>
      <c r="P88" s="110"/>
      <c r="Q88" s="111">
        <f>(K88+M88+O88)/1.18</f>
        <v>0</v>
      </c>
      <c r="R88" s="7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1"/>
      <c r="B89" s="86"/>
      <c r="C89" s="2"/>
      <c r="D89" s="75"/>
      <c r="E89" s="77">
        <f>G88+Q88</f>
        <v>0</v>
      </c>
      <c r="F89" s="77"/>
      <c r="G89" s="132"/>
      <c r="H89" s="77"/>
      <c r="I89" s="77"/>
      <c r="J89" s="77"/>
      <c r="K89" s="160"/>
      <c r="L89" s="110"/>
      <c r="M89" s="160"/>
      <c r="N89" s="110"/>
      <c r="O89" s="160"/>
      <c r="P89" s="110"/>
      <c r="Q89" s="160"/>
      <c r="R89" s="7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1"/>
      <c r="B90" s="86"/>
      <c r="C90" s="2"/>
      <c r="D90" s="75"/>
      <c r="E90" s="2"/>
      <c r="F90" s="2"/>
      <c r="G90" s="4"/>
      <c r="H90" s="2"/>
      <c r="I90" s="2"/>
      <c r="J90" s="2"/>
      <c r="K90" s="110"/>
      <c r="L90" s="110"/>
      <c r="M90" s="110"/>
      <c r="N90" s="110"/>
      <c r="O90" s="110"/>
      <c r="P90" s="110"/>
      <c r="Q90" s="11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1"/>
      <c r="B91" s="161" t="s">
        <v>62</v>
      </c>
      <c r="C91" s="2"/>
      <c r="D91" s="162"/>
      <c r="E91" s="2"/>
      <c r="F91" s="163">
        <f>F26+F40+F57+F86</f>
        <v>0</v>
      </c>
      <c r="G91" s="4"/>
      <c r="H91" s="2"/>
      <c r="I91" s="2"/>
      <c r="J91" s="2"/>
      <c r="K91" s="77"/>
      <c r="L91" s="77"/>
      <c r="M91" s="77"/>
      <c r="N91" s="77"/>
      <c r="O91" s="77"/>
      <c r="P91" s="77"/>
      <c r="Q91" s="77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1"/>
      <c r="B92" s="2"/>
      <c r="C92" s="2"/>
      <c r="D92" s="75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1"/>
      <c r="B93" s="164" t="s">
        <v>63</v>
      </c>
      <c r="C93" s="77" t="str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5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1"/>
      <c r="B94" s="164" t="s">
        <v>64</v>
      </c>
      <c r="C94" s="77" t="str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1"/>
      <c r="B95" s="164" t="s">
        <v>65</v>
      </c>
      <c r="C95" s="77">
        <f>M88+I88-O59-J59</f>
        <v>0</v>
      </c>
      <c r="D95" s="3"/>
      <c r="E95" s="2"/>
      <c r="F95" s="2"/>
      <c r="G95" s="13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1"/>
      <c r="B96" s="2"/>
      <c r="C96" s="110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hidden="1" customHeight="1">
      <c r="A97" s="1"/>
      <c r="B97" s="166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hidden="1" customHeight="1">
      <c r="A98" s="1"/>
      <c r="B98" s="166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hidden="1" customHeight="1">
      <c r="A99" s="1"/>
      <c r="B99" s="166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1"/>
      <c r="B101" s="2" t="str">
        <f t="array" ref="B101">_xludf.IFS(C93=0, "No Scanio/SeaAir Reimbursement", C93&gt;0, "Scanio Owes Sea &amp; Air", C93&lt;0, "Sea &amp; Air Owes Scanio")</f>
        <v>#NAME?</v>
      </c>
      <c r="C101" s="2"/>
      <c r="D101" s="3"/>
      <c r="E101" s="2"/>
      <c r="F101" s="77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1"/>
      <c r="B102" s="2"/>
      <c r="C102" s="77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1"/>
      <c r="B103" s="2"/>
      <c r="C103" s="77"/>
      <c r="D103" s="3"/>
      <c r="E103" s="2"/>
      <c r="F103" s="2"/>
      <c r="G103" s="13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mergeCells count="1">
    <mergeCell ref="D2:G2"/>
  </mergeCells>
  <printOptions/>
  <pageMargins bottom="0.75" footer="0.0" header="0.0" left="0.0" right="0.0" top="0.75"/>
  <pageSetup fitToHeight="0" orientation="landscape"/>
  <headerFooter>
    <oddHeader>&amp;L02.13.26&amp;CPAYROLL FOR A PERIOOD ENDED 02.06.2026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