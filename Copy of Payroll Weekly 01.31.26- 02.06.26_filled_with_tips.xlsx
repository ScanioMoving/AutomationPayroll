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officeDocument/2006/relationships" xmlns:ns2="http://customooxmlschemas.google.com/">
  <ns0:workbookPr/>
  <ns0:sheets>
    <ns0:sheet state="visible" name="Payroll Weekly Sample" sheetId="1" ns1:id="rId4"/>
    <ns0:sheet state="visible" name="Batch_Report_Sea_and_Air(2026-0" sheetId="2" ns1:id="rId5"/>
  </ns0:sheets>
  <ns0:definedNames/>
  <ns0:calcPr fullCalcOnLoad="1"/>
  <ns0:extLst>
    <ns0:ext uri="GoogleSheetsCustomDataVersion2">
      <ns2:sheetsCustomData ns1:id="rId6" roundtripDataChecksum="zU88hY1UTfcnmmXRkMSFbOZl2ttKxUrhdELImCihevw="/>
    </ns0:ext>
  </ns0:extLst>
</ns0:workbook>
</file>

<file path=xl/sharedStrings.xml><?xml version="1.0" encoding="utf-8"?>
<sst xmlns="http://schemas.openxmlformats.org/spreadsheetml/2006/main" count="175" uniqueCount="95">
  <si>
    <t>EMPLOYEE DEPARTMENT</t>
  </si>
  <si>
    <t>Rate</t>
  </si>
  <si>
    <t>TOTAL</t>
  </si>
  <si>
    <t>SCANIO</t>
  </si>
  <si>
    <t>SEA AND AIR</t>
  </si>
  <si>
    <t>FLAT PRICE</t>
  </si>
  <si>
    <t>(hr)</t>
  </si>
  <si>
    <t>$$</t>
  </si>
  <si>
    <t>over-time only</t>
  </si>
  <si>
    <t>comm</t>
  </si>
  <si>
    <t>(hr%)</t>
  </si>
  <si>
    <t>total hr</t>
  </si>
  <si>
    <t>SCANIO MOVING</t>
  </si>
  <si>
    <t>Adriano Rodallega</t>
  </si>
  <si>
    <t>Ang F Sherpa</t>
  </si>
  <si>
    <t>Corio Jamal Vinson</t>
  </si>
  <si>
    <t>Christian F Baena</t>
  </si>
  <si>
    <t>Boris Brin</t>
  </si>
  <si>
    <t>Christian M Font</t>
  </si>
  <si>
    <t>Danylo Chernysh</t>
  </si>
  <si>
    <t>Daniil Eremenkov</t>
  </si>
  <si>
    <t>Daniel Richiez</t>
  </si>
  <si>
    <t>David Torres</t>
  </si>
  <si>
    <t xml:space="preserve">Efrain Gongora </t>
  </si>
  <si>
    <t>Farukh Baymatov</t>
  </si>
  <si>
    <t>Jimmy K Crawford</t>
  </si>
  <si>
    <t>John Velez</t>
  </si>
  <si>
    <t>Maksim Ivashchanka</t>
  </si>
  <si>
    <t>Maksym Lelytsia</t>
  </si>
  <si>
    <t>Sandesh Purja</t>
  </si>
  <si>
    <t>Sonam Sherpa</t>
  </si>
  <si>
    <t>Terry R Maynard</t>
  </si>
  <si>
    <t>Surya Hamal</t>
  </si>
  <si>
    <t>Total</t>
  </si>
  <si>
    <t>%</t>
  </si>
  <si>
    <t>Amount to be reimb salary</t>
  </si>
  <si>
    <t>SCANIO STORAGE</t>
  </si>
  <si>
    <t>David E Aubert</t>
  </si>
  <si>
    <t>Ron Cohen</t>
  </si>
  <si>
    <t>Reginald Debson</t>
  </si>
  <si>
    <t>Mario Gomez -2</t>
  </si>
  <si>
    <t>Mamadou Yamar Diop</t>
  </si>
  <si>
    <t>SEA AND AIR INT-L</t>
  </si>
  <si>
    <t>Ang Sona Sherpa</t>
  </si>
  <si>
    <t>Fnu Rigjin Dawa</t>
  </si>
  <si>
    <t>Hishey L Lama</t>
  </si>
  <si>
    <t>Kye DeVonte White</t>
  </si>
  <si>
    <t>Lakpa S Sherpa</t>
  </si>
  <si>
    <t>Mario J Gomez</t>
  </si>
  <si>
    <t>Oleksii Danylenko</t>
  </si>
  <si>
    <t>Vladyslav Kandybiei</t>
  </si>
  <si>
    <t>Sonam T Lama</t>
  </si>
  <si>
    <t>Vincent Vails</t>
  </si>
  <si>
    <t xml:space="preserve">FLAT PRICE </t>
  </si>
  <si>
    <t>Chhiring L Gurung</t>
  </si>
  <si>
    <t>Dwayne K Guerra</t>
  </si>
  <si>
    <t>Dorgee Namjom</t>
  </si>
  <si>
    <t>John Johnson</t>
  </si>
  <si>
    <t>Phuri Sherpa</t>
  </si>
  <si>
    <t>Nurba T Gurung</t>
  </si>
  <si>
    <t>Tyshawn Eugene Allen</t>
  </si>
  <si>
    <t>Juan Francisco Cevallos Garzon</t>
  </si>
  <si>
    <t>Total over-time</t>
  </si>
  <si>
    <t>Due from Scanio to Sea &amp; Air</t>
  </si>
  <si>
    <t>Due from Scanio to FP</t>
  </si>
  <si>
    <t>Due from Sea &amp; Air to FP</t>
  </si>
  <si>
    <t>Due from Scanio to Sea &amp; Air (cash)</t>
  </si>
  <si>
    <t>Due from Scanio to FP (cash)</t>
  </si>
  <si>
    <t>Due from Sea &amp; Air to FP (cash)</t>
  </si>
  <si>
    <t>Name</t>
  </si>
  <si>
    <t>Company</t>
  </si>
  <si>
    <t>Hours at Company</t>
  </si>
  <si>
    <t>Tyshawn eugene allen</t>
  </si>
  <si>
    <t>FLATPRICE</t>
  </si>
  <si>
    <t>Dwayne Guerra</t>
  </si>
  <si>
    <t>Nurba Tsering Gurung</t>
  </si>
  <si>
    <t>scanio moving</t>
  </si>
  <si>
    <t>hishey lundup lama</t>
  </si>
  <si>
    <t>Chhiring Lopsang Gurung</t>
  </si>
  <si>
    <t>SEA AIR</t>
  </si>
  <si>
    <t>dorjee namjom</t>
  </si>
  <si>
    <t>phuri sherpa</t>
  </si>
  <si>
    <t>danylo chernysh</t>
  </si>
  <si>
    <t>jimmy crawford</t>
  </si>
  <si>
    <t>oleksii Danylenko</t>
  </si>
  <si>
    <t>Christian Font</t>
  </si>
  <si>
    <t>Mario j Gomez morales</t>
  </si>
  <si>
    <t>maksim ivashchanka</t>
  </si>
  <si>
    <t>Sonam T lama</t>
  </si>
  <si>
    <t>sandesh purja</t>
  </si>
  <si>
    <t>daniel richiez</t>
  </si>
  <si>
    <t>fnu rigjin dawa</t>
  </si>
  <si>
    <t>ang sona sherpa</t>
  </si>
  <si>
    <t>lapka S Sherpa</t>
  </si>
  <si>
    <t>David Aubert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</si>
</sst>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* #,##0.0_);_(* \(#,##0.0\);_(* &quot;-&quot;?_);_(@_)"/>
    <numFmt numFmtId="165" formatCode="_(* #,##0.00_);_(* \(#,##0.00\);_(* &quot;-&quot;??_);_(@_)"/>
    <numFmt numFmtId="166" formatCode="_(* #,##0.00_);_(* \(#,##0.00\);_(* &quot;-&quot;?_);_(@_)"/>
    <numFmt numFmtId="167" formatCode="_(&quot;$&quot;* #,##0.00_);_(&quot;$&quot;* \(#,##0.00\);_(&quot;$&quot;* &quot;-&quot;??_);_(@_)"/>
    <numFmt numFmtId="168" formatCode="_(* #,##0.000_);_(* \(#,##0.000\);_(* &quot;-&quot;???_);_(@_)"/>
    <numFmt numFmtId="169" formatCode="&quot;$&quot;#,##0.00"/>
    <numFmt numFmtId="170" formatCode="_(* #,##0_);_(* \(#,##0\);_(* &quot;-&quot;_);_(@_)"/>
    <numFmt numFmtId="171" formatCode="&quot;$&quot;#,##0.00_);\(&quot;$&quot;#,##0.00\)"/>
    <numFmt numFmtId="172" formatCode="h:mm am/pm"/>
    <numFmt numFmtId="173" formatCode="mm/dd/yy"/>
  </numFmts>
  <fonts count="9">
    <font>
      <sz val="11.0"/>
      <color theme="1"/>
      <name val="Arial"/>
      <scheme val="minor"/>
    </font>
    <font>
      <sz val="10.0"/>
      <color theme="1"/>
      <name val="Arial"/>
    </font>
    <font/>
    <font>
      <b/>
      <sz val="10.0"/>
      <color theme="1"/>
      <name val="Arial"/>
    </font>
    <font>
      <b/>
      <sz val="10.0"/>
      <color rgb="FFC00000"/>
      <name val="Arial"/>
    </font>
    <font>
      <sz val="11.0"/>
      <color theme="1"/>
      <name val="Arial"/>
    </font>
    <font>
      <sz val="10.0"/>
      <color rgb="FFC00000"/>
      <name val="Arial"/>
    </font>
    <font>
      <sz val="10.0"/>
      <color rgb="FF002060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medium">
        <color rgb="FF000000"/>
      </top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1" numFmtId="0" xfId="0" applyFont="1"/>
    <xf borderId="1" fillId="2" fontId="1" numFmtId="0" xfId="0" applyBorder="1" applyFill="1" applyFont="1"/>
    <xf borderId="1" fillId="3" fontId="1" numFmtId="0" xfId="0" applyBorder="1" applyFill="1" applyFont="1"/>
    <xf borderId="2" fillId="0" fontId="1" numFmtId="0" xfId="0" applyBorder="1" applyFont="1"/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3" fillId="4" fontId="3" numFmtId="0" xfId="0" applyAlignment="1" applyBorder="1" applyFill="1" applyFont="1">
      <alignment horizontal="center"/>
    </xf>
    <xf borderId="3" fillId="5" fontId="3" numFmtId="0" xfId="0" applyAlignment="1" applyBorder="1" applyFill="1" applyFont="1">
      <alignment horizontal="center"/>
    </xf>
    <xf borderId="3" fillId="6" fontId="3" numFmtId="0" xfId="0" applyAlignment="1" applyBorder="1" applyFill="1" applyFont="1">
      <alignment horizontal="center"/>
    </xf>
    <xf borderId="7" fillId="0" fontId="1" numFmtId="0" xfId="0" applyBorder="1" applyFont="1"/>
    <xf borderId="3" fillId="2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0" fillId="0" fontId="3" numFmtId="1" xfId="0" applyFont="1" applyNumberFormat="1"/>
    <xf borderId="8" fillId="0" fontId="3" numFmtId="0" xfId="0" applyBorder="1" applyFont="1"/>
    <xf borderId="9" fillId="0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/>
    </xf>
    <xf borderId="10" fillId="3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0" fillId="0" fontId="3" numFmtId="0" xfId="0" applyFont="1"/>
    <xf borderId="12" fillId="0" fontId="4" numFmtId="0" xfId="0" applyBorder="1" applyFont="1"/>
    <xf borderId="13" fillId="0" fontId="1" numFmtId="0" xfId="0" applyBorder="1" applyFont="1"/>
    <xf borderId="14" fillId="2" fontId="1" numFmtId="164" xfId="0" applyBorder="1" applyFont="1" applyNumberFormat="1"/>
    <xf borderId="15" fillId="0" fontId="1" numFmtId="165" xfId="0" applyBorder="1" applyFont="1" applyNumberFormat="1"/>
    <xf borderId="15" fillId="3" fontId="1" numFmtId="165" xfId="0" applyBorder="1" applyFont="1" applyNumberFormat="1"/>
    <xf borderId="16" fillId="0" fontId="1" numFmtId="166" xfId="0" applyBorder="1" applyFont="1" applyNumberFormat="1"/>
    <xf borderId="15" fillId="0" fontId="1" numFmtId="9" xfId="0" applyBorder="1" applyFont="1" applyNumberFormat="1"/>
    <xf borderId="13" fillId="0" fontId="1" numFmtId="166" xfId="0" applyBorder="1" applyFont="1" applyNumberFormat="1"/>
    <xf borderId="15" fillId="0" fontId="1" numFmtId="166" xfId="0" applyBorder="1" applyFont="1" applyNumberFormat="1"/>
    <xf borderId="17" fillId="0" fontId="1" numFmtId="166" xfId="0" applyBorder="1" applyFont="1" applyNumberFormat="1"/>
    <xf borderId="18" fillId="0" fontId="1" numFmtId="0" xfId="0" applyBorder="1" applyFont="1"/>
    <xf borderId="5" fillId="0" fontId="1" numFmtId="0" xfId="0" applyBorder="1" applyFont="1"/>
    <xf borderId="3" fillId="2" fontId="1" numFmtId="164" xfId="0" applyBorder="1" applyFont="1" applyNumberFormat="1"/>
    <xf borderId="6" fillId="0" fontId="1" numFmtId="165" xfId="0" applyBorder="1" applyFont="1" applyNumberFormat="1"/>
    <xf borderId="3" fillId="0" fontId="1" numFmtId="165" xfId="0" applyBorder="1" applyFont="1" applyNumberFormat="1"/>
    <xf borderId="3" fillId="3" fontId="1" numFmtId="165" xfId="0" applyBorder="1" applyFont="1" applyNumberFormat="1"/>
    <xf borderId="4" fillId="0" fontId="1" numFmtId="166" xfId="0" applyBorder="1" applyFont="1" applyNumberFormat="1"/>
    <xf borderId="3" fillId="0" fontId="1" numFmtId="9" xfId="0" applyBorder="1" applyFont="1" applyNumberFormat="1"/>
    <xf borderId="6" fillId="0" fontId="1" numFmtId="166" xfId="0" applyBorder="1" applyFont="1" applyNumberFormat="1"/>
    <xf borderId="3" fillId="0" fontId="1" numFmtId="166" xfId="0" applyBorder="1" applyFont="1" applyNumberFormat="1"/>
    <xf borderId="19" fillId="0" fontId="1" numFmtId="166" xfId="0" applyBorder="1" applyFont="1" applyNumberFormat="1"/>
    <xf borderId="18" fillId="0" fontId="4" numFmtId="0" xfId="0" applyBorder="1" applyFont="1"/>
    <xf borderId="7" fillId="0" fontId="1" numFmtId="165" xfId="0" applyBorder="1" applyFont="1" applyNumberFormat="1"/>
    <xf borderId="20" fillId="0" fontId="1" numFmtId="166" xfId="0" applyBorder="1" applyFont="1" applyNumberFormat="1"/>
    <xf borderId="21" fillId="0" fontId="1" numFmtId="166" xfId="0" applyBorder="1" applyFont="1" applyNumberFormat="1"/>
    <xf borderId="7" fillId="0" fontId="1" numFmtId="166" xfId="0" applyBorder="1" applyFont="1" applyNumberFormat="1"/>
    <xf borderId="9" fillId="0" fontId="1" numFmtId="0" xfId="0" applyBorder="1" applyFont="1"/>
    <xf borderId="2" fillId="0" fontId="1" numFmtId="165" xfId="0" applyBorder="1" applyFont="1" applyNumberFormat="1"/>
    <xf borderId="8" fillId="0" fontId="1" numFmtId="166" xfId="0" applyBorder="1" applyFont="1" applyNumberFormat="1"/>
    <xf borderId="11" fillId="0" fontId="1" numFmtId="166" xfId="0" applyBorder="1" applyFont="1" applyNumberFormat="1"/>
    <xf borderId="2" fillId="0" fontId="1" numFmtId="166" xfId="0" applyBorder="1" applyFont="1" applyNumberFormat="1"/>
    <xf borderId="22" fillId="0" fontId="1" numFmtId="0" xfId="0" applyBorder="1" applyFont="1"/>
    <xf borderId="23" fillId="0" fontId="1" numFmtId="0" xfId="0" applyBorder="1" applyFont="1"/>
    <xf borderId="24" fillId="2" fontId="1" numFmtId="164" xfId="0" applyBorder="1" applyFont="1" applyNumberFormat="1"/>
    <xf borderId="25" fillId="0" fontId="1" numFmtId="165" xfId="0" applyBorder="1" applyFont="1" applyNumberFormat="1"/>
    <xf borderId="25" fillId="3" fontId="1" numFmtId="165" xfId="0" applyBorder="1" applyFont="1" applyNumberFormat="1"/>
    <xf borderId="26" fillId="0" fontId="1" numFmtId="166" xfId="0" applyBorder="1" applyFont="1" applyNumberFormat="1"/>
    <xf borderId="25" fillId="0" fontId="1" numFmtId="9" xfId="0" applyBorder="1" applyFont="1" applyNumberFormat="1"/>
    <xf borderId="23" fillId="0" fontId="1" numFmtId="166" xfId="0" applyBorder="1" applyFont="1" applyNumberFormat="1"/>
    <xf borderId="25" fillId="0" fontId="1" numFmtId="166" xfId="0" applyBorder="1" applyFont="1" applyNumberFormat="1"/>
    <xf borderId="27" fillId="0" fontId="1" numFmtId="166" xfId="0" applyBorder="1" applyFont="1" applyNumberFormat="1"/>
    <xf borderId="28" fillId="0" fontId="3" numFmtId="0" xfId="0" applyBorder="1" applyFont="1"/>
    <xf borderId="29" fillId="0" fontId="3" numFmtId="0" xfId="0" applyBorder="1" applyFont="1"/>
    <xf borderId="30" fillId="2" fontId="3" numFmtId="164" xfId="0" applyBorder="1" applyFont="1" applyNumberFormat="1"/>
    <xf borderId="31" fillId="0" fontId="3" numFmtId="167" xfId="0" applyBorder="1" applyFont="1" applyNumberFormat="1"/>
    <xf borderId="30" fillId="3" fontId="3" numFmtId="167" xfId="0" applyBorder="1" applyFont="1" applyNumberFormat="1"/>
    <xf borderId="31" fillId="0" fontId="3" numFmtId="166" xfId="0" applyBorder="1" applyFont="1" applyNumberFormat="1"/>
    <xf borderId="29" fillId="0" fontId="1" numFmtId="9" xfId="0" applyBorder="1" applyFont="1" applyNumberFormat="1"/>
    <xf borderId="31" fillId="0" fontId="1" numFmtId="9" xfId="0" applyBorder="1" applyFont="1" applyNumberFormat="1"/>
    <xf borderId="32" fillId="0" fontId="3" numFmtId="166" xfId="0" applyBorder="1" applyFont="1" applyNumberFormat="1"/>
    <xf borderId="0" fillId="0" fontId="3" numFmtId="164" xfId="0" applyFont="1" applyNumberFormat="1"/>
    <xf borderId="7" fillId="0" fontId="1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8" xfId="0" applyFont="1" applyNumberFormat="1"/>
    <xf borderId="0" fillId="0" fontId="1" numFmtId="167" xfId="0" applyFont="1" applyNumberFormat="1"/>
    <xf borderId="33" fillId="3" fontId="3" numFmtId="167" xfId="0" applyBorder="1" applyFont="1" applyNumberFormat="1"/>
    <xf borderId="34" fillId="0" fontId="1" numFmtId="167" xfId="0" applyBorder="1" applyFont="1" applyNumberFormat="1"/>
    <xf borderId="35" fillId="0" fontId="1" numFmtId="165" xfId="0" applyBorder="1" applyFont="1" applyNumberFormat="1"/>
    <xf borderId="36" fillId="0" fontId="3" numFmtId="0" xfId="0" applyBorder="1" applyFont="1"/>
    <xf borderId="35" fillId="0" fontId="1" numFmtId="167" xfId="0" applyBorder="1" applyFont="1" applyNumberFormat="1"/>
    <xf borderId="36" fillId="0" fontId="3" numFmtId="164" xfId="0" applyBorder="1" applyFont="1" applyNumberFormat="1"/>
    <xf borderId="35" fillId="0" fontId="3" numFmtId="169" xfId="0" applyBorder="1" applyFont="1" applyNumberFormat="1"/>
    <xf borderId="0" fillId="0" fontId="1" numFmtId="169" xfId="0" applyFont="1" applyNumberFormat="1"/>
    <xf borderId="0" fillId="0" fontId="1" numFmtId="0" xfId="0" applyAlignment="1" applyFont="1">
      <alignment horizontal="center"/>
    </xf>
    <xf borderId="37" fillId="0" fontId="3" numFmtId="169" xfId="0" applyBorder="1" applyFont="1" applyNumberFormat="1"/>
    <xf borderId="0" fillId="0" fontId="3" numFmtId="169" xfId="0" applyFont="1" applyNumberFormat="1"/>
    <xf borderId="32" fillId="0" fontId="3" numFmtId="0" xfId="0" applyBorder="1" applyFont="1"/>
    <xf borderId="35" fillId="0" fontId="1" numFmtId="0" xfId="0" applyBorder="1" applyFont="1"/>
    <xf borderId="38" fillId="2" fontId="1" numFmtId="164" xfId="0" applyBorder="1" applyFont="1" applyNumberFormat="1"/>
    <xf borderId="39" fillId="0" fontId="1" numFmtId="0" xfId="0" applyBorder="1" applyFont="1"/>
    <xf borderId="38" fillId="3" fontId="1" numFmtId="0" xfId="0" applyBorder="1" applyFont="1"/>
    <xf borderId="34" fillId="0" fontId="1" numFmtId="0" xfId="0" applyBorder="1" applyFont="1"/>
    <xf borderId="15" fillId="0" fontId="1" numFmtId="0" xfId="0" applyBorder="1" applyFont="1"/>
    <xf borderId="15" fillId="2" fontId="1" numFmtId="164" xfId="0" applyBorder="1" applyFont="1" applyNumberFormat="1"/>
    <xf borderId="13" fillId="0" fontId="1" numFmtId="165" xfId="0" applyBorder="1" applyFont="1" applyNumberFormat="1"/>
    <xf borderId="18" fillId="0" fontId="3" numFmtId="0" xfId="0" applyBorder="1" applyFont="1"/>
    <xf borderId="3" fillId="0" fontId="1" numFmtId="0" xfId="0" applyBorder="1" applyFont="1"/>
    <xf borderId="21" fillId="0" fontId="1" numFmtId="165" xfId="0" applyBorder="1" applyFont="1" applyNumberFormat="1"/>
    <xf borderId="40" fillId="0" fontId="1" numFmtId="166" xfId="0" applyBorder="1" applyFont="1" applyNumberFormat="1"/>
    <xf borderId="41" fillId="0" fontId="3" numFmtId="167" xfId="0" applyBorder="1" applyFont="1" applyNumberFormat="1"/>
    <xf borderId="42" fillId="3" fontId="3" numFmtId="167" xfId="0" applyBorder="1" applyFont="1" applyNumberFormat="1"/>
    <xf borderId="41" fillId="0" fontId="3" numFmtId="166" xfId="0" applyBorder="1" applyFont="1" applyNumberFormat="1"/>
    <xf borderId="43" fillId="0" fontId="3" numFmtId="166" xfId="0" applyBorder="1" applyFont="1" applyNumberFormat="1"/>
    <xf borderId="44" fillId="0" fontId="1" numFmtId="0" xfId="0" applyAlignment="1" applyBorder="1" applyFont="1">
      <alignment horizontal="center"/>
    </xf>
    <xf borderId="0" fillId="0" fontId="1" numFmtId="170" xfId="0" applyFont="1" applyNumberFormat="1"/>
    <xf borderId="1" fillId="3" fontId="1" numFmtId="170" xfId="0" applyBorder="1" applyFont="1" applyNumberFormat="1"/>
    <xf borderId="32" fillId="0" fontId="1" numFmtId="167" xfId="0" applyBorder="1" applyFont="1" applyNumberFormat="1"/>
    <xf borderId="0" fillId="0" fontId="1" numFmtId="171" xfId="0" applyFont="1" applyNumberFormat="1"/>
    <xf borderId="35" fillId="0" fontId="3" numFmtId="167" xfId="0" applyBorder="1" applyFont="1" applyNumberFormat="1"/>
    <xf borderId="39" fillId="0" fontId="3" numFmtId="0" xfId="0" applyBorder="1" applyFont="1"/>
    <xf borderId="38" fillId="2" fontId="3" numFmtId="164" xfId="0" applyBorder="1" applyFont="1" applyNumberFormat="1"/>
    <xf borderId="38" fillId="3" fontId="3" numFmtId="0" xfId="0" applyBorder="1" applyFont="1"/>
    <xf borderId="39" fillId="0" fontId="3" numFmtId="164" xfId="0" applyBorder="1" applyFont="1" applyNumberFormat="1"/>
    <xf borderId="34" fillId="0" fontId="3" numFmtId="164" xfId="0" applyBorder="1" applyFont="1" applyNumberFormat="1"/>
    <xf borderId="45" fillId="0" fontId="1" numFmtId="0" xfId="0" applyBorder="1" applyFont="1"/>
    <xf borderId="46" fillId="2" fontId="1" numFmtId="164" xfId="0" applyBorder="1" applyFont="1" applyNumberFormat="1"/>
    <xf borderId="47" fillId="0" fontId="1" numFmtId="165" xfId="0" applyBorder="1" applyFont="1" applyNumberFormat="1"/>
    <xf borderId="48" fillId="0" fontId="1" numFmtId="0" xfId="0" applyBorder="1" applyFont="1"/>
    <xf borderId="49" fillId="2" fontId="1" numFmtId="164" xfId="0" applyBorder="1" applyFont="1" applyNumberFormat="1"/>
    <xf borderId="50" fillId="3" fontId="1" numFmtId="165" xfId="0" applyBorder="1" applyFont="1" applyNumberFormat="1"/>
    <xf borderId="7" fillId="0" fontId="1" numFmtId="9" xfId="0" applyBorder="1" applyFont="1" applyNumberFormat="1"/>
    <xf borderId="51" fillId="0" fontId="1" numFmtId="166" xfId="0" applyBorder="1" applyFont="1" applyNumberFormat="1"/>
    <xf borderId="48" fillId="0" fontId="4" numFmtId="0" xfId="0" applyBorder="1" applyFont="1"/>
    <xf borderId="52" fillId="3" fontId="1" numFmtId="165" xfId="0" applyBorder="1" applyFont="1" applyNumberFormat="1"/>
    <xf borderId="53" fillId="0" fontId="1" numFmtId="166" xfId="0" applyBorder="1" applyFont="1" applyNumberFormat="1"/>
    <xf borderId="54" fillId="0" fontId="3" numFmtId="0" xfId="0" applyBorder="1" applyFont="1"/>
    <xf borderId="25" fillId="0" fontId="3" numFmtId="0" xfId="0" applyBorder="1" applyFont="1"/>
    <xf borderId="55" fillId="2" fontId="3" numFmtId="164" xfId="0" applyBorder="1" applyFont="1" applyNumberFormat="1"/>
    <xf borderId="41" fillId="0" fontId="3" numFmtId="9" xfId="0" applyBorder="1" applyFont="1" applyNumberFormat="1"/>
    <xf borderId="1" fillId="3" fontId="1" numFmtId="167" xfId="0" applyBorder="1" applyFont="1" applyNumberFormat="1"/>
    <xf borderId="0" fillId="0" fontId="1" numFmtId="164" xfId="0" applyFont="1" applyNumberFormat="1"/>
    <xf borderId="56" fillId="0" fontId="3" numFmtId="0" xfId="0" applyBorder="1" applyFont="1"/>
    <xf borderId="37" fillId="0" fontId="3" numFmtId="0" xfId="0" applyBorder="1" applyFont="1"/>
    <xf borderId="57" fillId="2" fontId="3" numFmtId="164" xfId="0" applyBorder="1" applyFont="1" applyNumberFormat="1"/>
    <xf borderId="57" fillId="3" fontId="3" numFmtId="0" xfId="0" applyBorder="1" applyFont="1"/>
    <xf borderId="37" fillId="0" fontId="3" numFmtId="164" xfId="0" applyBorder="1" applyFont="1" applyNumberFormat="1"/>
    <xf borderId="58" fillId="0" fontId="3" numFmtId="164" xfId="0" applyBorder="1" applyFont="1" applyNumberFormat="1"/>
    <xf borderId="59" fillId="0" fontId="1" numFmtId="0" xfId="0" applyBorder="1" applyFont="1"/>
    <xf borderId="6" fillId="0" fontId="1" numFmtId="0" xfId="0" applyBorder="1" applyFont="1"/>
    <xf borderId="3" fillId="0" fontId="1" numFmtId="4" xfId="0" applyBorder="1" applyFont="1" applyNumberFormat="1"/>
    <xf borderId="59" fillId="0" fontId="4" numFmtId="0" xfId="0" applyBorder="1" applyFont="1"/>
    <xf borderId="21" fillId="0" fontId="1" numFmtId="0" xfId="0" applyBorder="1" applyFont="1"/>
    <xf borderId="0" fillId="0" fontId="5" numFmtId="4" xfId="0" applyFont="1" applyNumberFormat="1"/>
    <xf borderId="59" fillId="7" fontId="1" numFmtId="0" xfId="0" applyBorder="1" applyFill="1" applyFont="1"/>
    <xf borderId="2" fillId="0" fontId="1" numFmtId="9" xfId="0" applyBorder="1" applyFont="1" applyNumberFormat="1"/>
    <xf borderId="2" fillId="0" fontId="1" numFmtId="4" xfId="0" applyBorder="1" applyFont="1" applyNumberFormat="1"/>
    <xf borderId="60" fillId="0" fontId="1" numFmtId="0" xfId="0" applyBorder="1" applyFont="1"/>
    <xf borderId="61" fillId="0" fontId="4" numFmtId="0" xfId="0" applyBorder="1" applyFont="1"/>
    <xf borderId="62" fillId="0" fontId="1" numFmtId="0" xfId="0" applyBorder="1" applyFont="1"/>
    <xf borderId="32" fillId="0" fontId="4" numFmtId="0" xfId="0" applyBorder="1" applyFont="1"/>
    <xf borderId="61" fillId="0" fontId="1" numFmtId="0" xfId="0" applyBorder="1" applyFont="1"/>
    <xf borderId="18" fillId="0" fontId="6" numFmtId="0" xfId="0" applyBorder="1" applyFont="1"/>
    <xf borderId="63" fillId="2" fontId="1" numFmtId="164" xfId="0" applyBorder="1" applyFont="1" applyNumberFormat="1"/>
    <xf borderId="63" fillId="3" fontId="1" numFmtId="165" xfId="0" applyBorder="1" applyFont="1" applyNumberFormat="1"/>
    <xf borderId="35" fillId="0" fontId="3" numFmtId="0" xfId="0" applyBorder="1" applyFont="1"/>
    <xf borderId="64" fillId="0" fontId="3" numFmtId="0" xfId="0" applyBorder="1" applyFont="1"/>
    <xf borderId="42" fillId="2" fontId="3" numFmtId="164" xfId="0" applyBorder="1" applyFont="1" applyNumberFormat="1"/>
    <xf borderId="0" fillId="0" fontId="3" numFmtId="167" xfId="0" applyFont="1" applyNumberFormat="1"/>
    <xf borderId="32" fillId="0" fontId="1" numFmtId="0" xfId="0" applyBorder="1" applyFont="1"/>
    <xf borderId="1" fillId="2" fontId="5" numFmtId="0" xfId="0" applyBorder="1" applyFont="1"/>
    <xf borderId="32" fillId="0" fontId="3" numFmtId="164" xfId="0" applyBorder="1" applyFont="1" applyNumberFormat="1"/>
    <xf borderId="0" fillId="0" fontId="7" numFmtId="0" xfId="0" applyFont="1"/>
    <xf borderId="0" fillId="0" fontId="1" numFmtId="165" xfId="0" applyFont="1" applyNumberFormat="1"/>
    <xf borderId="1" fillId="8" fontId="1" numFmtId="0" xfId="0" applyBorder="1" applyFill="1" applyFont="1"/>
    <xf borderId="0" fillId="0" fontId="8" numFmtId="0" xfId="0" applyAlignment="1" applyFont="1">
      <alignment readingOrder="0"/>
    </xf>
    <xf borderId="0" fillId="0" fontId="8" numFmtId="46" xfId="0" applyAlignment="1" applyFont="1" applyNumberFormat="1">
      <alignment readingOrder="0"/>
    </xf>
    <xf borderId="0" fillId="0" fontId="8" numFmtId="20" xfId="0" applyAlignment="1" applyFont="1" applyNumberFormat="1">
      <alignment readingOrder="0"/>
    </xf>
    <xf borderId="0" fillId="0" fontId="8" numFmtId="172" xfId="0" applyAlignment="1" applyFont="1" applyNumberFormat="1">
      <alignment readingOrder="0"/>
    </xf>
    <xf borderId="0" fillId="0" fontId="8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pageSetUpPr fitToPage="1"/>
  </ns0:sheetPr>
  <ns0:sheetViews>
    <ns0:sheetView workbookViewId="0">
      <ns0:pane xSplit="2.0" ySplit="5.0" topLeftCell="C6" activePane="bottomRight" state="frozen"/>
      <ns0:selection activeCell="C1" sqref="C1" pane="topRight"/>
      <ns0:selection activeCell="A6" sqref="A6" pane="bottomLeft"/>
      <ns0:selection activeCell="C6" sqref="C6" pane="bottomRight"/>
    </ns0:sheetView>
  </ns0:sheetViews>
  <ns0:sheetFormatPr customHeight="1" defaultColWidth="12.63" defaultRowHeight="15.0"/>
  <ns0:cols>
    <ns0:col customWidth="1" min="1" max="1" width="3.13"/>
    <ns0:col customWidth="1" min="2" max="2" width="27.5"/>
    <ns0:col customWidth="1" min="3" max="4" width="10.13"/>
    <ns0:col customWidth="1" min="5" max="5" width="17.25"/>
    <ns0:col customWidth="1" min="6" max="6" width="12.38"/>
    <ns0:col customWidth="1" min="7" max="7" width="11.25"/>
    <ns0:col customWidth="1" min="8" max="12" width="10.13"/>
    <ns0:col customWidth="1" min="13" max="13" width="12.25"/>
    <ns0:col customWidth="1" min="14" max="17" width="10.13"/>
    <ns0:col customWidth="1" min="18" max="29" width="7.13"/>
  </ns0:cols>
  <ns0:sheetData>
    <ns0:row r="1" ht="12.75" customHeight="1">
      <ns0:c r="A1" s="1"/>
      <ns0:c r="B1" s="2"/>
      <ns0:c r="C1" s="2"/>
      <ns0:c r="D1" s="3"/>
      <ns0:c r="E1" s="2"/>
      <ns0:c r="F1" s="2"/>
      <ns0:c r="G1" s="4"/>
      <ns0:c r="H1" s="2"/>
      <ns0:c r="I1" s="2"/>
      <ns0:c r="J1" s="2"/>
      <ns0:c r="K1" s="2"/>
      <ns0:c r="L1" s="2"/>
      <ns0:c r="M1" s="2"/>
      <ns0:c r="N1" s="2"/>
      <ns0:c r="O1" s="2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</ns0:row>
    <ns0:row r="2" ht="12.75" customHeight="1">
      <ns0:c r="A2" s="1"/>
      <ns0:c r="B2" s="5" t="s">
        <ns0:v>0</ns0:v>
      </ns0:c>
      <ns0:c r="C2" s="6" t="s">
        <ns0:v>1</ns0:v>
      </ns0:c>
      <ns0:c r="D2" s="7" t="s">
        <ns0:v>2</ns0:v>
      </ns0:c>
      <ns0:c r="E2" s="8"/>
      <ns0:c r="F2" s="8"/>
      <ns0:c r="G2" s="9"/>
      <ns0:c r="H2" s="10" t="s">
        <ns0:v>3</ns0:v>
      </ns0:c>
      <ns0:c r="I2" s="11" t="s">
        <ns0:v>4</ns0:v>
      </ns0:c>
      <ns0:c r="J2" s="12" t="s">
        <ns0:v>5</ns0:v>
      </ns0:c>
      <ns0:c r="K2" s="10" t="s">
        <ns0:v>3</ns0:v>
      </ns0:c>
      <ns0:c r="L2" s="10" t="s">
        <ns0:v>3</ns0:v>
      </ns0:c>
      <ns0:c r="M2" s="11" t="s">
        <ns0:v>4</ns0:v>
      </ns0:c>
      <ns0:c r="N2" s="11" t="s">
        <ns0:v>4</ns0:v>
      </ns0:c>
      <ns0:c r="O2" s="12" t="s">
        <ns0:v>5</ns0:v>
      </ns0:c>
      <ns0:c r="P2" s="12" t="s">
        <ns0:v>5</ns0:v>
      </ns0:c>
      <ns0:c r="Q2" s="6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</ns0:row>
    <ns0:row r="3" ht="12.75" customHeight="1">
      <ns0:c r="A3" s="1"/>
      <ns0:c r="B3" s="13"/>
      <ns0:c r="C3" s="6"/>
      <ns0:c r="D3" s="14" t="s">
        <ns0:v>6</ns0:v>
      </ns0:c>
      <ns0:c r="E3" s="6" t="s">
        <ns0:v>7</ns0:v>
      </ns0:c>
      <ns0:c r="F3" s="6" t="s">
        <ns0:v>8</ns0:v>
      </ns0:c>
      <ns0:c r="G3" s="15" t="s">
        <ns0:v>9</ns0:v>
      </ns0:c>
      <ns0:c r="H3" s="6" t="s">
        <ns0:v>9</ns0:v>
      </ns0:c>
      <ns0:c r="I3" s="6" t="s">
        <ns0:v>9</ns0:v>
      </ns0:c>
      <ns0:c r="J3" s="6" t="s">
        <ns0:v>9</ns0:v>
      </ns0:c>
      <ns0:c r="K3" s="6" t="s">
        <ns0:v>6</ns0:v>
      </ns0:c>
      <ns0:c r="L3" s="6" t="s">
        <ns0:v>10</ns0:v>
      </ns0:c>
      <ns0:c r="M3" s="6" t="s">
        <ns0:v>6</ns0:v>
      </ns0:c>
      <ns0:c r="N3" s="6" t="s">
        <ns0:v>10</ns0:v>
      </ns0:c>
      <ns0:c r="O3" s="6" t="s">
        <ns0:v>6</ns0:v>
      </ns0:c>
      <ns0:c r="P3" s="6" t="s">
        <ns0:v>10</ns0:v>
      </ns0:c>
      <ns0:c r="Q3" s="6" t="s">
        <ns0:v>11</ns0:v>
      </ns0:c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</ns0:row>
    <ns0:row r="4" ht="12.75" customHeight="1">
      <ns0:c r="A4" s="16"/>
      <ns0:c r="B4" s="17" t="s">
        <ns0:v>12</ns0:v>
      </ns0:c>
      <ns0:c r="C4" s="18"/>
      <ns0:c r="D4" s="19"/>
      <ns0:c r="E4" s="18"/>
      <ns0:c r="F4" s="18"/>
      <ns0:c r="G4" s="20"/>
      <ns0:c r="H4" s="18"/>
      <ns0:c r="I4" s="18"/>
      <ns0:c r="J4" s="18"/>
      <ns0:c r="K4" s="18"/>
      <ns0:c r="L4" s="18"/>
      <ns0:c r="M4" s="18"/>
      <ns0:c r="N4" s="18"/>
      <ns0:c r="O4" s="18"/>
      <ns0:c r="P4" s="18"/>
      <ns0:c r="Q4" s="21"/>
      <ns0:c r="R4" s="22"/>
      <ns0:c r="S4" s="22"/>
      <ns0:c r="T4" s="22"/>
      <ns0:c r="U4" s="22"/>
      <ns0:c r="V4" s="22"/>
      <ns0:c r="W4" s="22"/>
      <ns0:c r="X4" s="22"/>
      <ns0:c r="Y4" s="22"/>
      <ns0:c r="Z4" s="22"/>
      <ns0:c r="AA4" s="22"/>
      <ns0:c r="AB4" s="22"/>
      <ns0:c r="AC4" s="22"/>
    </ns0:row>
    <ns0:row r="5" ht="14.25" customHeight="1">
      <ns0:c r="A5" s="1">
        <ns0:v>1.0</ns0:v>
      </ns0:c>
      <ns0:c r="B5" s="23" t="s">
        <ns0:v>13</ns0:v>
      </ns0:c>
      <ns0:c r="C5" s="24">
        <ns0:v>18.0</ns0:v>
      </ns0:c>
      <ns0:c r="D5" s="25">
        <ns0:f t="shared" ref="D5:D25" si="1">Q5</ns0:f>
        <ns0:v>0</ns0:v>
      </ns0:c>
      <ns0:c r="E5" s="26">
        <ns0:f t="shared" ref="E5:E25" si="2">IF(D5&gt;40,(D5-40)*(C5*1.5)+(C5*40),D5*C5)</ns0:f>
        <ns0:v>0</ns0:v>
      </ns0:c>
      <ns0:c r="F5" s="26">
        <ns0:f t="shared" ref="F5:F25" si="3">IF(D5&gt;40,(D5-40)*(C5*0.5),0)</ns0:f>
        <ns0:v>0</ns0:v>
      </ns0:c>
      <ns0:c r="G5" s="27">
        <ns0:v>0</ns0:v>
      </ns0:c>
      <ns0:c r="H5" s="26">
        <ns0:v>0</ns0:v>
      </ns0:c>
      <ns0:c r="I5" s="26">
        <ns0:v>0</ns0:v>
      </ns0:c>
      <ns0:c r="J5" s="26">
        <ns0:v>0</ns0:v>
      </ns0:c>
      <ns0:c r="K5" s="28">
        <ns0:v>28.25</ns0:v>
      </ns0:c>
      <ns0:c r="L5" s="29">
        <ns0:f t="shared" ref="L5:L13" si="5">IFERROR(K5/Q5,0)</ns0:f>
        <ns0:v>0</ns0:v>
      </ns0:c>
      <ns0:c r="M5" s="30">
        <ns0:v>0</ns0:v>
      </ns0:c>
      <ns0:c r="N5" s="29">
        <ns0:f t="shared" ref="N5:N25" si="6">IFERROR(M5/Q5,0)</ns0:f>
        <ns0:v>0</ns0:v>
      </ns0:c>
      <ns0:c r="O5" s="31">
        <ns0:v>0</ns0:v>
      </ns0:c>
      <ns0:c r="P5" s="29">
        <ns0:f t="shared" ref="P5:P25" si="7">IFERROR(O5/Q5,0)</ns0:f>
        <ns0:v>0</ns0:v>
      </ns0:c>
      <ns0:c r="Q5" s="32">
        <ns0:f t="shared" ref="Q5:Q25" si="8">K5+M5+O5</ns0:f>
        <ns0:v>0</ns0:v>
      </ns0:c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</ns0:row>
    <ns0:row r="6">
      <ns0:c r="A6" s="1">
        <ns0:f t="shared" ref="A6:A8" si="9">1+A5</ns0:f>
        <ns0:v>2</ns0:v>
      </ns0:c>
      <ns0:c r="B6" s="33" t="s">
        <ns0:v>14</ns0:v>
      </ns0:c>
      <ns0:c r="C6" s="34">
        <ns0:v>16.0</ns0:v>
      </ns0:c>
      <ns0:c r="D6" s="35">
        <ns0:f t="shared" si="1"/>
        <ns0:v>0</ns0:v>
      </ns0:c>
      <ns0:c r="E6" s="36">
        <ns0:f t="shared" si="2"/>
        <ns0:v>0</ns0:v>
      </ns0:c>
      <ns0:c r="F6" s="37">
        <ns0:f t="shared" si="3"/>
        <ns0:v>0</ns0:v>
      </ns0:c>
      <ns0:c r="G6" s="38">
        <ns0:v>0</ns0:v>
      </ns0:c>
      <ns0:c r="H6" s="37">
        <ns0:v>0</ns0:v>
      </ns0:c>
      <ns0:c r="I6" s="37">
        <ns0:v>0</ns0:v>
      </ns0:c>
      <ns0:c r="J6" s="37">
        <ns0:v>0</ns0:v>
      </ns0:c>
      <ns0:c r="K6" s="39">
        <ns0:v>0</ns0:v>
      </ns0:c>
      <ns0:c r="L6" s="40">
        <ns0:f t="shared" si="5"/>
        <ns0:v>0</ns0:v>
      </ns0:c>
      <ns0:c r="M6" s="41">
        <ns0:v>0</ns0:v>
      </ns0:c>
      <ns0:c r="N6" s="40">
        <ns0:f t="shared" si="6"/>
        <ns0:v>0</ns0:v>
      </ns0:c>
      <ns0:c r="O6" s="42">
        <ns0:v>0</ns0:v>
      </ns0:c>
      <ns0:c r="P6" s="40">
        <ns0:f t="shared" si="7"/>
        <ns0:v>0</ns0:v>
      </ns0:c>
      <ns0:c r="Q6" s="43">
        <ns0:f t="shared" si="8"/>
        <ns0:v>0</ns0:v>
      </ns0:c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</ns0:row>
    <ns0:row r="7" ht="12.75" customHeight="1">
      <ns0:c r="A7" s="1">
        <ns0:f t="shared" si="9"/>
        <ns0:v>3</ns0:v>
      </ns0:c>
      <ns0:c r="B7" s="44" t="s">
        <ns0:v>15</ns0:v>
      </ns0:c>
      <ns0:c r="C7" s="34">
        <ns0:v>18.0</ns0:v>
      </ns0:c>
      <ns0:c r="D7" s="35">
        <ns0:f t="shared" si="1"/>
        <ns0:v>0</ns0:v>
      </ns0:c>
      <ns0:c r="E7" s="36">
        <ns0:f t="shared" si="2"/>
        <ns0:v>0</ns0:v>
      </ns0:c>
      <ns0:c r="F7" s="37">
        <ns0:f t="shared" si="3"/>
        <ns0:v>0</ns0:v>
      </ns0:c>
      <ns0:c r="G7" s="38">
        <ns0:v>0</ns0:v>
      </ns0:c>
      <ns0:c r="H7" s="37">
        <ns0:v>0</ns0:v>
      </ns0:c>
      <ns0:c r="I7" s="37">
        <ns0:v>0</ns0:v>
      </ns0:c>
      <ns0:c r="J7" s="37">
        <ns0:v>0</ns0:v>
      </ns0:c>
      <ns0:c r="K7" s="39">
        <ns0:v>0</ns0:v>
      </ns0:c>
      <ns0:c r="L7" s="40">
        <ns0:f t="shared" si="5"/>
        <ns0:v>0</ns0:v>
      </ns0:c>
      <ns0:c r="M7" s="41">
        <ns0:v>0</ns0:v>
      </ns0:c>
      <ns0:c r="N7" s="40">
        <ns0:f t="shared" si="6"/>
        <ns0:v>0</ns0:v>
      </ns0:c>
      <ns0:c r="O7" s="42">
        <ns0:v>0</ns0:v>
      </ns0:c>
      <ns0:c r="P7" s="40">
        <ns0:f t="shared" si="7"/>
        <ns0:v>0</ns0:v>
      </ns0:c>
      <ns0:c r="Q7" s="43">
        <ns0:f t="shared" si="8"/>
        <ns0:v>0</ns0:v>
      </ns0:c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</ns0:row>
    <ns0:row r="8" ht="12.75" customHeight="1">
      <ns0:c r="A8" s="1">
        <ns0:f t="shared" si="9"/>
        <ns0:v>4</ns0:v>
      </ns0:c>
      <ns0:c r="B8" s="33" t="s">
        <ns0:v>16</ns0:v>
      </ns0:c>
      <ns0:c r="C8" s="34">
        <ns0:v>19.0</ns0:v>
      </ns0:c>
      <ns0:c r="D8" s="35">
        <ns0:f t="shared" si="1"/>
        <ns0:v>0</ns0:v>
      </ns0:c>
      <ns0:c r="E8" s="36">
        <ns0:f t="shared" si="2"/>
        <ns0:v>0</ns0:v>
      </ns0:c>
      <ns0:c r="F8" s="37">
        <ns0:f t="shared" si="3"/>
        <ns0:v>0</ns0:v>
      </ns0:c>
      <ns0:c r="G8" s="38">
        <ns0:v>0</ns0:v>
      </ns0:c>
      <ns0:c r="H8" s="45">
        <ns0:v>0</ns0:v>
      </ns0:c>
      <ns0:c r="I8" s="45">
        <ns0:v>0</ns0:v>
      </ns0:c>
      <ns0:c r="J8" s="45">
        <ns0:v>0</ns0:v>
      </ns0:c>
      <ns0:c r="K8" s="46">
        <ns0:v>0</ns0:v>
      </ns0:c>
      <ns0:c r="L8" s="40">
        <ns0:f t="shared" si="5"/>
        <ns0:v>0</ns0:v>
      </ns0:c>
      <ns0:c r="M8" s="47">
        <ns0:v>0</ns0:v>
      </ns0:c>
      <ns0:c r="N8" s="40">
        <ns0:f t="shared" si="6"/>
        <ns0:v>0</ns0:v>
      </ns0:c>
      <ns0:c r="O8" s="48">
        <ns0:v>0</ns0:v>
      </ns0:c>
      <ns0:c r="P8" s="40">
        <ns0:f t="shared" si="7"/>
        <ns0:v>0</ns0:v>
      </ns0:c>
      <ns0:c r="Q8" s="43">
        <ns0:f t="shared" si="8"/>
        <ns0:v>0</ns0:v>
      </ns0:c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</ns0:row>
    <ns0:row r="9" ht="12.75" customHeight="1">
      <ns0:c r="A9" s="1">
        <ns0:v>2.0</ns0:v>
      </ns0:c>
      <ns0:c r="B9" s="44" t="s">
        <ns0:v>17</ns0:v>
      </ns0:c>
      <ns0:c r="C9" s="34">
        <ns0:v>20.0</ns0:v>
      </ns0:c>
      <ns0:c r="D9" s="35">
        <ns0:f t="shared" si="1"/>
        <ns0:v>0</ns0:v>
      </ns0:c>
      <ns0:c r="E9" s="36">
        <ns0:f t="shared" si="2"/>
        <ns0:v>0</ns0:v>
      </ns0:c>
      <ns0:c r="F9" s="37">
        <ns0:f t="shared" si="3"/>
        <ns0:v>0</ns0:v>
      </ns0:c>
      <ns0:c r="G9" s="38">
        <ns0:v>0</ns0:v>
      </ns0:c>
      <ns0:c r="H9" s="45">
        <ns0:v>0</ns0:v>
      </ns0:c>
      <ns0:c r="I9" s="45">
        <ns0:v>0</ns0:v>
      </ns0:c>
      <ns0:c r="J9" s="45">
        <ns0:v>0</ns0:v>
      </ns0:c>
      <ns0:c r="K9" s="46">
        <ns0:v>0</ns0:v>
      </ns0:c>
      <ns0:c r="L9" s="40">
        <ns0:f t="shared" si="5"/>
        <ns0:v>0</ns0:v>
      </ns0:c>
      <ns0:c r="M9" s="47">
        <ns0:v>0</ns0:v>
      </ns0:c>
      <ns0:c r="N9" s="40">
        <ns0:f t="shared" si="6"/>
        <ns0:v>0</ns0:v>
      </ns0:c>
      <ns0:c r="O9" s="48">
        <ns0:v>0</ns0:v>
      </ns0:c>
      <ns0:c r="P9" s="40">
        <ns0:f t="shared" si="7"/>
        <ns0:v>0</ns0:v>
      </ns0:c>
      <ns0:c r="Q9" s="43">
        <ns0:f t="shared" si="8"/>
        <ns0:v>0</ns0:v>
      </ns0:c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</ns0:row>
    <ns0:row r="10" ht="12.75" customHeight="1">
      <ns0:c r="A10" s="1">
        <ns0:f t="shared" ref="A10:A24" si="10">A9+1</ns0:f>
        <ns0:v>3</ns0:v>
      </ns0:c>
      <ns0:c r="B10" s="33" t="s">
        <ns0:v>18</ns0:v>
      </ns0:c>
      <ns0:c r="C10" s="34">
        <ns0:v>19.0</ns0:v>
      </ns0:c>
      <ns0:c r="D10" s="35">
        <ns0:f t="shared" si="1"/>
        <ns0:v>0</ns0:v>
      </ns0:c>
      <ns0:c r="E10" s="36">
        <ns0:f t="shared" si="2"/>
        <ns0:v>0</ns0:v>
      </ns0:c>
      <ns0:c r="F10" s="37">
        <ns0:f t="shared" si="3"/>
        <ns0:v>0</ns0:v>
      </ns0:c>
      <ns0:c r="G10" s="38">
        <ns0:v>82</ns0:v>
      </ns0:c>
      <ns0:c r="H10" s="45">
        <ns0:v>82</ns0:v>
      </ns0:c>
      <ns0:c r="I10" s="45">
        <ns0:v>0</ns0:v>
      </ns0:c>
      <ns0:c r="J10" s="45">
        <ns0:v>0</ns0:v>
      </ns0:c>
      <ns0:c r="K10" s="46">
        <ns0:v>26.5</ns0:v>
      </ns0:c>
      <ns0:c r="L10" s="40">
        <ns0:f t="shared" si="5"/>
        <ns0:v>0</ns0:v>
      </ns0:c>
      <ns0:c r="M10" s="47">
        <ns0:v>8</ns0:v>
      </ns0:c>
      <ns0:c r="N10" s="40">
        <ns0:f t="shared" si="6"/>
        <ns0:v>0</ns0:v>
      </ns0:c>
      <ns0:c r="O10" s="48">
        <ns0:v>0</ns0:v>
      </ns0:c>
      <ns0:c r="P10" s="40">
        <ns0:f t="shared" si="7"/>
        <ns0:v>0</ns0:v>
      </ns0:c>
      <ns0:c r="Q10" s="43">
        <ns0:f t="shared" si="8"/>
        <ns0:v>0</ns0:v>
      </ns0:c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</ns0:row>
    <ns0:row r="11" ht="12.75" customHeight="1">
      <ns0:c r="A11" s="1">
        <ns0:f t="shared" si="10"/>
        <ns0:v>4</ns0:v>
      </ns0:c>
      <ns0:c r="B11" s="44" t="s">
        <ns0:v>19</ns0:v>
      </ns0:c>
      <ns0:c r="C11" s="34">
        <ns0:v>18.0</ns0:v>
      </ns0:c>
      <ns0:c r="D11" s="35">
        <ns0:f t="shared" si="1"/>
        <ns0:v>0</ns0:v>
      </ns0:c>
      <ns0:c r="E11" s="36">
        <ns0:f t="shared" si="2"/>
        <ns0:v>0</ns0:v>
      </ns0:c>
      <ns0:c r="F11" s="37">
        <ns0:f t="shared" si="3"/>
        <ns0:v>0</ns0:v>
      </ns0:c>
      <ns0:c r="G11" s="38">
        <ns0:v>0</ns0:v>
      </ns0:c>
      <ns0:c r="H11" s="45">
        <ns0:v>0</ns0:v>
      </ns0:c>
      <ns0:c r="I11" s="45">
        <ns0:v>0</ns0:v>
      </ns0:c>
      <ns0:c r="J11" s="45">
        <ns0:v>0</ns0:v>
      </ns0:c>
      <ns0:c r="K11" s="46">
        <ns0:v>27.25</ns0:v>
      </ns0:c>
      <ns0:c r="L11" s="40">
        <ns0:f t="shared" si="5"/>
        <ns0:v>0</ns0:v>
      </ns0:c>
      <ns0:c r="M11" s="47">
        <ns0:v>6</ns0:v>
      </ns0:c>
      <ns0:c r="N11" s="40">
        <ns0:f t="shared" si="6"/>
        <ns0:v>0</ns0:v>
      </ns0:c>
      <ns0:c r="O11" s="48">
        <ns0:v>0</ns0:v>
      </ns0:c>
      <ns0:c r="P11" s="40">
        <ns0:f t="shared" si="7"/>
        <ns0:v>0</ns0:v>
      </ns0:c>
      <ns0:c r="Q11" s="43">
        <ns0:f t="shared" si="8"/>
        <ns0:v>0</ns0:v>
      </ns0:c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</ns0:row>
    <ns0:row r="12" ht="12.75" customHeight="1">
      <ns0:c r="A12" s="1">
        <ns0:f t="shared" si="10"/>
        <ns0:v>5</ns0:v>
      </ns0:c>
      <ns0:c r="B12" s="44" t="s">
        <ns0:v>20</ns0:v>
      </ns0:c>
      <ns0:c r="C12" s="34">
        <ns0:v>19.0</ns0:v>
      </ns0:c>
      <ns0:c r="D12" s="35">
        <ns0:f t="shared" si="1"/>
        <ns0:v>0</ns0:v>
      </ns0:c>
      <ns0:c r="E12" s="36">
        <ns0:f t="shared" si="2"/>
        <ns0:v>0</ns0:v>
      </ns0:c>
      <ns0:c r="F12" s="37">
        <ns0:f t="shared" si="3"/>
        <ns0:v>0</ns0:v>
      </ns0:c>
      <ns0:c r="G12" s="38">
        <ns0:v>0</ns0:v>
      </ns0:c>
      <ns0:c r="H12" s="45">
        <ns0:v>0</ns0:v>
      </ns0:c>
      <ns0:c r="I12" s="45">
        <ns0:v>0</ns0:v>
      </ns0:c>
      <ns0:c r="J12" s="45">
        <ns0:v>0</ns0:v>
      </ns0:c>
      <ns0:c r="K12" s="46">
        <ns0:v>0</ns0:v>
      </ns0:c>
      <ns0:c r="L12" s="40">
        <ns0:f t="shared" si="5"/>
        <ns0:v>0</ns0:v>
      </ns0:c>
      <ns0:c r="M12" s="47">
        <ns0:v>0</ns0:v>
      </ns0:c>
      <ns0:c r="N12" s="40">
        <ns0:f t="shared" si="6"/>
        <ns0:v>0</ns0:v>
      </ns0:c>
      <ns0:c r="O12" s="48">
        <ns0:v>0</ns0:v>
      </ns0:c>
      <ns0:c r="P12" s="40">
        <ns0:f t="shared" si="7"/>
        <ns0:v>0</ns0:v>
      </ns0:c>
      <ns0:c r="Q12" s="43">
        <ns0:f t="shared" si="8"/>
        <ns0:v>0</ns0:v>
      </ns0:c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</ns0:row>
    <ns0:row r="13" ht="12.75" customHeight="1">
      <ns0:c r="A13" s="1">
        <ns0:f t="shared" si="10"/>
        <ns0:v>6</ns0:v>
      </ns0:c>
      <ns0:c r="B13" s="33" t="s">
        <ns0:v>21</ns0:v>
      </ns0:c>
      <ns0:c r="C13" s="34">
        <ns0:v>19.0</ns0:v>
      </ns0:c>
      <ns0:c r="D13" s="35">
        <ns0:f t="shared" si="1"/>
        <ns0:v>0</ns0:v>
      </ns0:c>
      <ns0:c r="E13" s="36">
        <ns0:f t="shared" si="2"/>
        <ns0:v>0</ns0:v>
      </ns0:c>
      <ns0:c r="F13" s="37">
        <ns0:f t="shared" si="3"/>
        <ns0:v>0</ns0:v>
      </ns0:c>
      <ns0:c r="G13" s="38">
        <ns0:v>0</ns0:v>
      </ns0:c>
      <ns0:c r="H13" s="45">
        <ns0:v>0</ns0:v>
      </ns0:c>
      <ns0:c r="I13" s="45">
        <ns0:v>0</ns0:v>
      </ns0:c>
      <ns0:c r="J13" s="45">
        <ns0:v>0</ns0:v>
      </ns0:c>
      <ns0:c r="K13" s="46">
        <ns0:v>33</ns0:v>
      </ns0:c>
      <ns0:c r="L13" s="40">
        <ns0:f t="shared" si="5"/>
        <ns0:v>0</ns0:v>
      </ns0:c>
      <ns0:c r="M13" s="47">
        <ns0:v>7</ns0:v>
      </ns0:c>
      <ns0:c r="N13" s="40">
        <ns0:f t="shared" si="6"/>
        <ns0:v>0</ns0:v>
      </ns0:c>
      <ns0:c r="O13" s="48">
        <ns0:v>0</ns0:v>
      </ns0:c>
      <ns0:c r="P13" s="40">
        <ns0:f t="shared" si="7"/>
        <ns0:v>0</ns0:v>
      </ns0:c>
      <ns0:c r="Q13" s="43">
        <ns0:f t="shared" si="8"/>
        <ns0:v>0</ns0:v>
      </ns0:c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</ns0:row>
    <ns0:row r="14" ht="12.75" customHeight="1">
      <ns0:c r="A14" s="1">
        <ns0:f t="shared" si="10"/>
        <ns0:v>7</ns0:v>
      </ns0:c>
      <ns0:c r="B14" s="44" t="s">
        <ns0:v>22</ns0:v>
      </ns0:c>
      <ns0:c r="C14" s="34">
        <ns0:v>18.0</ns0:v>
      </ns0:c>
      <ns0:c r="D14" s="35">
        <ns0:f t="shared" si="1"/>
        <ns0:v>0</ns0:v>
      </ns0:c>
      <ns0:c r="E14" s="36">
        <ns0:f t="shared" si="2"/>
        <ns0:v>0</ns0:v>
      </ns0:c>
      <ns0:c r="F14" s="37">
        <ns0:f t="shared" si="3"/>
        <ns0:v>0</ns0:v>
      </ns0:c>
      <ns0:c r="G14" s="38">
        <ns0:v>0</ns0:v>
      </ns0:c>
      <ns0:c r="H14" s="45">
        <ns0:v>0</ns0:v>
      </ns0:c>
      <ns0:c r="I14" s="45">
        <ns0:v>0</ns0:v>
      </ns0:c>
      <ns0:c r="J14" s="45">
        <ns0:v>0</ns0:v>
      </ns0:c>
      <ns0:c r="K14" s="46">
        <ns0:v>23</ns0:v>
      </ns0:c>
      <ns0:c r="L14" s="40">
        <ns0:v>0.0</ns0:v>
      </ns0:c>
      <ns0:c r="M14" s="47">
        <ns0:v>13.5</ns0:v>
      </ns0:c>
      <ns0:c r="N14" s="40">
        <ns0:f t="shared" si="6"/>
        <ns0:v>0</ns0:v>
      </ns0:c>
      <ns0:c r="O14" s="48">
        <ns0:v>0</ns0:v>
      </ns0:c>
      <ns0:c r="P14" s="40">
        <ns0:f t="shared" si="7"/>
        <ns0:v>0</ns0:v>
      </ns0:c>
      <ns0:c r="Q14" s="43">
        <ns0:f t="shared" si="8"/>
        <ns0:v>0</ns0:v>
      </ns0:c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</ns0:row>
    <ns0:row r="15" ht="12.75" customHeight="1">
      <ns0:c r="A15" s="1">
        <ns0:f t="shared" si="10"/>
        <ns0:v>8</ns0:v>
      </ns0:c>
      <ns0:c r="B15" s="44" t="s">
        <ns0:v>23</ns0:v>
      </ns0:c>
      <ns0:c r="C15" s="34">
        <ns0:v>19.0</ns0:v>
      </ns0:c>
      <ns0:c r="D15" s="35">
        <ns0:f t="shared" si="1"/>
        <ns0:v>0</ns0:v>
      </ns0:c>
      <ns0:c r="E15" s="36">
        <ns0:f t="shared" si="2"/>
        <ns0:v>0</ns0:v>
      </ns0:c>
      <ns0:c r="F15" s="37">
        <ns0:f t="shared" si="3"/>
        <ns0:v>0</ns0:v>
      </ns0:c>
      <ns0:c r="G15" s="38">
        <ns0:v>0</ns0:v>
      </ns0:c>
      <ns0:c r="H15" s="45">
        <ns0:v>0</ns0:v>
      </ns0:c>
      <ns0:c r="I15" s="45">
        <ns0:v>0</ns0:v>
      </ns0:c>
      <ns0:c r="J15" s="45">
        <ns0:v>0</ns0:v>
      </ns0:c>
      <ns0:c r="K15" s="46">
        <ns0:v>0</ns0:v>
      </ns0:c>
      <ns0:c r="L15" s="40">
        <ns0:f t="shared" ref="L15:L25" si="11">IFERROR(K15/Q15,0)</ns0:f>
        <ns0:v>0</ns0:v>
      </ns0:c>
      <ns0:c r="M15" s="47">
        <ns0:v>0</ns0:v>
      </ns0:c>
      <ns0:c r="N15" s="40">
        <ns0:f t="shared" si="6"/>
        <ns0:v>0</ns0:v>
      </ns0:c>
      <ns0:c r="O15" s="48">
        <ns0:v>0</ns0:v>
      </ns0:c>
      <ns0:c r="P15" s="40">
        <ns0:f t="shared" si="7"/>
        <ns0:v>0</ns0:v>
      </ns0:c>
      <ns0:c r="Q15" s="43">
        <ns0:f t="shared" si="8"/>
        <ns0:v>0</ns0:v>
      </ns0:c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</ns0:row>
    <ns0:row r="16" ht="12.75" customHeight="1">
      <ns0:c r="A16" s="1">
        <ns0:f t="shared" si="10"/>
        <ns0:v>9</ns0:v>
      </ns0:c>
      <ns0:c r="B16" s="44" t="s">
        <ns0:v>24</ns0:v>
      </ns0:c>
      <ns0:c r="C16" s="34">
        <ns0:v>20.0</ns0:v>
      </ns0:c>
      <ns0:c r="D16" s="35">
        <ns0:f t="shared" si="1"/>
        <ns0:v>0</ns0:v>
      </ns0:c>
      <ns0:c r="E16" s="36">
        <ns0:f t="shared" si="2"/>
        <ns0:v>0</ns0:v>
      </ns0:c>
      <ns0:c r="F16" s="37">
        <ns0:f t="shared" si="3"/>
        <ns0:v>0</ns0:v>
      </ns0:c>
      <ns0:c r="G16" s="38">
        <ns0:v>108.5</ns0:v>
      </ns0:c>
      <ns0:c r="H16" s="45">
        <ns0:v>108.5</ns0:v>
      </ns0:c>
      <ns0:c r="I16" s="45">
        <ns0:v>0</ns0:v>
      </ns0:c>
      <ns0:c r="J16" s="45">
        <ns0:v>0</ns0:v>
      </ns0:c>
      <ns0:c r="K16" s="46">
        <ns0:v>26.75</ns0:v>
      </ns0:c>
      <ns0:c r="L16" s="40">
        <ns0:f t="shared" si="11"/>
        <ns0:v>0</ns0:v>
      </ns0:c>
      <ns0:c r="M16" s="47">
        <ns0:v>7</ns0:v>
      </ns0:c>
      <ns0:c r="N16" s="40">
        <ns0:f t="shared" si="6"/>
        <ns0:v>0</ns0:v>
      </ns0:c>
      <ns0:c r="O16" s="48">
        <ns0:v>0</ns0:v>
      </ns0:c>
      <ns0:c r="P16" s="40">
        <ns0:f t="shared" si="7"/>
        <ns0:v>0</ns0:v>
      </ns0:c>
      <ns0:c r="Q16" s="43">
        <ns0:f t="shared" si="8"/>
        <ns0:v>0</ns0:v>
      </ns0:c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</ns0:row>
    <ns0:row r="17" ht="12.75" customHeight="1">
      <ns0:c r="A17" s="1">
        <ns0:f t="shared" si="10"/>
        <ns0:v>10</ns0:v>
      </ns0:c>
      <ns0:c r="B17" s="33" t="s">
        <ns0:v>25</ns0:v>
      </ns0:c>
      <ns0:c r="C17" s="34">
        <ns0:v>17.0</ns0:v>
      </ns0:c>
      <ns0:c r="D17" s="35">
        <ns0:f t="shared" si="1"/>
        <ns0:v>0</ns0:v>
      </ns0:c>
      <ns0:c r="E17" s="36">
        <ns0:f t="shared" si="2"/>
        <ns0:v>0</ns0:v>
      </ns0:c>
      <ns0:c r="F17" s="37">
        <ns0:f t="shared" si="3"/>
        <ns0:v>0</ns0:v>
      </ns0:c>
      <ns0:c r="G17" s="38">
        <ns0:v>0</ns0:v>
      </ns0:c>
      <ns0:c r="H17" s="45">
        <ns0:v>0</ns0:v>
      </ns0:c>
      <ns0:c r="I17" s="45">
        <ns0:v>0</ns0:v>
      </ns0:c>
      <ns0:c r="J17" s="45">
        <ns0:v>0</ns0:v>
      </ns0:c>
      <ns0:c r="K17" s="46">
        <ns0:v>18</ns0:v>
      </ns0:c>
      <ns0:c r="L17" s="40">
        <ns0:f t="shared" si="11"/>
        <ns0:v>0</ns0:v>
      </ns0:c>
      <ns0:c r="M17" s="47">
        <ns0:v>14.75</ns0:v>
      </ns0:c>
      <ns0:c r="N17" s="40">
        <ns0:f t="shared" si="6"/>
        <ns0:v>0</ns0:v>
      </ns0:c>
      <ns0:c r="O17" s="48">
        <ns0:v>0</ns0:v>
      </ns0:c>
      <ns0:c r="P17" s="40">
        <ns0:f t="shared" si="7"/>
        <ns0:v>0</ns0:v>
      </ns0:c>
      <ns0:c r="Q17" s="43">
        <ns0:f t="shared" si="8"/>
        <ns0:v>0</ns0:v>
      </ns0:c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</ns0:row>
    <ns0:row r="18" ht="12.75" customHeight="1">
      <ns0:c r="A18" s="1">
        <ns0:f t="shared" si="10"/>
        <ns0:v>11</ns0:v>
      </ns0:c>
      <ns0:c r="B18" s="33" t="s">
        <ns0:v>26</ns0:v>
      </ns0:c>
      <ns0:c r="C18" s="34">
        <ns0:v>20.0</ns0:v>
      </ns0:c>
      <ns0:c r="D18" s="35">
        <ns0:f t="shared" si="1"/>
        <ns0:v>0</ns0:v>
      </ns0:c>
      <ns0:c r="E18" s="36">
        <ns0:f t="shared" si="2"/>
        <ns0:v>0</ns0:v>
      </ns0:c>
      <ns0:c r="F18" s="37">
        <ns0:f t="shared" si="3"/>
        <ns0:v>0</ns0:v>
      </ns0:c>
      <ns0:c r="G18" s="38">
        <ns0:v>0</ns0:v>
      </ns0:c>
      <ns0:c r="H18" s="45">
        <ns0:v>0</ns0:v>
      </ns0:c>
      <ns0:c r="I18" s="45">
        <ns0:v>0</ns0:v>
      </ns0:c>
      <ns0:c r="J18" s="45">
        <ns0:v>0</ns0:v>
      </ns0:c>
      <ns0:c r="K18" s="46">
        <ns0:v>6</ns0:v>
      </ns0:c>
      <ns0:c r="L18" s="40">
        <ns0:f t="shared" si="11"/>
        <ns0:v>0</ns0:v>
      </ns0:c>
      <ns0:c r="M18" s="47">
        <ns0:v>0</ns0:v>
      </ns0:c>
      <ns0:c r="N18" s="40">
        <ns0:f t="shared" si="6"/>
        <ns0:v>0</ns0:v>
      </ns0:c>
      <ns0:c r="O18" s="48">
        <ns0:v>0</ns0:v>
      </ns0:c>
      <ns0:c r="P18" s="40">
        <ns0:f t="shared" si="7"/>
        <ns0:v>0</ns0:v>
      </ns0:c>
      <ns0:c r="Q18" s="43">
        <ns0:f t="shared" si="8"/>
        <ns0:v>0</ns0:v>
      </ns0:c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</ns0:row>
    <ns0:row r="19" ht="12.75" customHeight="1">
      <ns0:c r="A19" s="1">
        <ns0:f t="shared" si="10"/>
        <ns0:v>12</ns0:v>
      </ns0:c>
      <ns0:c r="B19" s="44" t="s">
        <ns0:v>27</ns0:v>
      </ns0:c>
      <ns0:c r="C19" s="34">
        <ns0:v>19.0</ns0:v>
      </ns0:c>
      <ns0:c r="D19" s="35">
        <ns0:f t="shared" si="1"/>
        <ns0:v>0</ns0:v>
      </ns0:c>
      <ns0:c r="E19" s="36">
        <ns0:f t="shared" si="2"/>
        <ns0:v>0</ns0:v>
      </ns0:c>
      <ns0:c r="F19" s="37">
        <ns0:f t="shared" si="3"/>
        <ns0:v>0</ns0:v>
      </ns0:c>
      <ns0:c r="G19" s="38">
        <ns0:v>21.2</ns0:v>
      </ns0:c>
      <ns0:c r="H19" s="37">
        <ns0:v>21.2</ns0:v>
      </ns0:c>
      <ns0:c r="I19" s="37">
        <ns0:v>0</ns0:v>
      </ns0:c>
      <ns0:c r="J19" s="37">
        <ns0:v>0</ns0:v>
      </ns0:c>
      <ns0:c r="K19" s="39">
        <ns0:v>11</ns0:v>
      </ns0:c>
      <ns0:c r="L19" s="40">
        <ns0:f t="shared" si="11"/>
        <ns0:v>0</ns0:v>
      </ns0:c>
      <ns0:c r="M19" s="41">
        <ns0:v>5</ns0:v>
      </ns0:c>
      <ns0:c r="N19" s="40">
        <ns0:f t="shared" si="6"/>
        <ns0:v>0</ns0:v>
      </ns0:c>
      <ns0:c r="O19" s="42">
        <ns0:v>0</ns0:v>
      </ns0:c>
      <ns0:c r="P19" s="40">
        <ns0:f t="shared" si="7"/>
        <ns0:v>0</ns0:v>
      </ns0:c>
      <ns0:c r="Q19" s="43">
        <ns0:f t="shared" si="8"/>
        <ns0:v>0</ns0:v>
      </ns0:c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</ns0:row>
    <ns0:row r="20" ht="12.75" hidden="1" customHeight="1">
      <ns0:c r="A20" s="1">
        <ns0:f t="shared" si="10"/>
        <ns0:v>13</ns0:v>
      </ns0:c>
      <ns0:c r="B20" s="33" t="s">
        <ns0:v>28</ns0:v>
      </ns0:c>
      <ns0:c r="C20" s="34">
        <ns0:v>17.0</ns0:v>
      </ns0:c>
      <ns0:c r="D20" s="35">
        <ns0:f t="shared" si="1"/>
        <ns0:v>0</ns0:v>
      </ns0:c>
      <ns0:c r="E20" s="36">
        <ns0:f t="shared" si="2"/>
        <ns0:v>0</ns0:v>
      </ns0:c>
      <ns0:c r="F20" s="37">
        <ns0:f t="shared" si="3"/>
        <ns0:v>0</ns0:v>
      </ns0:c>
      <ns0:c r="G20" s="38">
        <ns0:v>0</ns0:v>
      </ns0:c>
      <ns0:c r="H20" s="37">
        <ns0:v>0</ns0:v>
      </ns0:c>
      <ns0:c r="I20" s="37">
        <ns0:v>0</ns0:v>
      </ns0:c>
      <ns0:c r="J20" s="37">
        <ns0:v>0</ns0:v>
      </ns0:c>
      <ns0:c r="K20" s="39">
        <ns0:v>0</ns0:v>
      </ns0:c>
      <ns0:c r="L20" s="40">
        <ns0:f t="shared" si="11"/>
        <ns0:v>0</ns0:v>
      </ns0:c>
      <ns0:c r="M20" s="41">
        <ns0:v>0</ns0:v>
      </ns0:c>
      <ns0:c r="N20" s="40">
        <ns0:f t="shared" si="6"/>
        <ns0:v>0</ns0:v>
      </ns0:c>
      <ns0:c r="O20" s="42">
        <ns0:v>0</ns0:v>
      </ns0:c>
      <ns0:c r="P20" s="40">
        <ns0:f t="shared" si="7"/>
        <ns0:v>0</ns0:v>
      </ns0:c>
      <ns0:c r="Q20" s="43">
        <ns0:f t="shared" si="8"/>
        <ns0:v>0</ns0:v>
      </ns0:c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</ns0:row>
    <ns0:row r="21" ht="12.75" customHeight="1">
      <ns0:c r="A21" s="1">
        <ns0:f t="shared" si="10"/>
        <ns0:v>14</ns0:v>
      </ns0:c>
      <ns0:c r="B21" s="33" t="s">
        <ns0:v>29</ns0:v>
      </ns0:c>
      <ns0:c r="C21" s="34">
        <ns0:v>17.0</ns0:v>
      </ns0:c>
      <ns0:c r="D21" s="35">
        <ns0:f t="shared" si="1"/>
        <ns0:v>0</ns0:v>
      </ns0:c>
      <ns0:c r="E21" s="36">
        <ns0:f t="shared" si="2"/>
        <ns0:v>0</ns0:v>
      </ns0:c>
      <ns0:c r="F21" s="37">
        <ns0:f t="shared" si="3"/>
        <ns0:v>0</ns0:v>
      </ns0:c>
      <ns0:c r="G21" s="38">
        <ns0:v>0</ns0:v>
      </ns0:c>
      <ns0:c r="H21" s="37">
        <ns0:v>0</ns0:v>
      </ns0:c>
      <ns0:c r="I21" s="37">
        <ns0:v>0</ns0:v>
      </ns0:c>
      <ns0:c r="J21" s="37">
        <ns0:v>0</ns0:v>
      </ns0:c>
      <ns0:c r="K21" s="39">
        <ns0:v>19</ns0:v>
      </ns0:c>
      <ns0:c r="L21" s="40">
        <ns0:f t="shared" si="11"/>
        <ns0:v>0</ns0:v>
      </ns0:c>
      <ns0:c r="M21" s="41">
        <ns0:v>0</ns0:v>
      </ns0:c>
      <ns0:c r="N21" s="40">
        <ns0:f t="shared" si="6"/>
        <ns0:v>0</ns0:v>
      </ns0:c>
      <ns0:c r="O21" s="42">
        <ns0:v>0</ns0:v>
      </ns0:c>
      <ns0:c r="P21" s="40">
        <ns0:f t="shared" si="7"/>
        <ns0:v>0</ns0:v>
      </ns0:c>
      <ns0:c r="Q21" s="43">
        <ns0:f t="shared" si="8"/>
        <ns0:v>0</ns0:v>
      </ns0:c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</ns0:row>
    <ns0:row r="22" ht="12.75" customHeight="1">
      <ns0:c r="A22" s="1">
        <ns0:f t="shared" si="10"/>
        <ns0:v>15</ns0:v>
      </ns0:c>
      <ns0:c r="B22" s="33" t="s">
        <ns0:v>30</ns0:v>
      </ns0:c>
      <ns0:c r="C22" s="34">
        <ns0:v>16.5</ns0:v>
      </ns0:c>
      <ns0:c r="D22" s="35">
        <ns0:f t="shared" si="1"/>
        <ns0:v>0</ns0:v>
      </ns0:c>
      <ns0:c r="E22" s="36">
        <ns0:f t="shared" si="2"/>
        <ns0:v>0</ns0:v>
      </ns0:c>
      <ns0:c r="F22" s="37">
        <ns0:f t="shared" si="3"/>
        <ns0:v>0</ns0:v>
      </ns0:c>
      <ns0:c r="G22" s="38">
        <ns0:v>0</ns0:v>
      </ns0:c>
      <ns0:c r="H22" s="37">
        <ns0:v>0</ns0:v>
      </ns0:c>
      <ns0:c r="I22" s="37">
        <ns0:v>0</ns0:v>
      </ns0:c>
      <ns0:c r="J22" s="37">
        <ns0:v>0</ns0:v>
      </ns0:c>
      <ns0:c r="K22" s="39">
        <ns0:v>0</ns0:v>
      </ns0:c>
      <ns0:c r="L22" s="40">
        <ns0:f t="shared" si="11"/>
        <ns0:v>0</ns0:v>
      </ns0:c>
      <ns0:c r="M22" s="41">
        <ns0:v>0</ns0:v>
      </ns0:c>
      <ns0:c r="N22" s="40">
        <ns0:f t="shared" si="6"/>
        <ns0:v>0</ns0:v>
      </ns0:c>
      <ns0:c r="O22" s="42">
        <ns0:v>0</ns0:v>
      </ns0:c>
      <ns0:c r="P22" s="40">
        <ns0:f t="shared" si="7"/>
        <ns0:v>0</ns0:v>
      </ns0:c>
      <ns0:c r="Q22" s="43">
        <ns0:f t="shared" si="8"/>
        <ns0:v>0</ns0:v>
      </ns0:c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</ns0:row>
    <ns0:row r="23" ht="12.75" customHeight="1">
      <ns0:c r="A23" s="1">
        <ns0:f t="shared" si="10"/>
        <ns0:v>16</ns0:v>
      </ns0:c>
      <ns0:c r="B23" s="33" t="s">
        <ns0:v>31</ns0:v>
      </ns0:c>
      <ns0:c r="C23" s="34">
        <ns0:v>18.0</ns0:v>
      </ns0:c>
      <ns0:c r="D23" s="35">
        <ns0:f t="shared" si="1"/>
        <ns0:v>0</ns0:v>
      </ns0:c>
      <ns0:c r="E23" s="36">
        <ns0:f t="shared" si="2"/>
        <ns0:v>0</ns0:v>
      </ns0:c>
      <ns0:c r="F23" s="37">
        <ns0:f t="shared" si="3"/>
        <ns0:v>0</ns0:v>
      </ns0:c>
      <ns0:c r="G23" s="38">
        <ns0:v>0</ns0:v>
      </ns0:c>
      <ns0:c r="H23" s="37">
        <ns0:v>0</ns0:v>
      </ns0:c>
      <ns0:c r="I23" s="37">
        <ns0:v>0</ns0:v>
      </ns0:c>
      <ns0:c r="J23" s="37">
        <ns0:v>0</ns0:v>
      </ns0:c>
      <ns0:c r="K23" s="39">
        <ns0:v>0</ns0:v>
      </ns0:c>
      <ns0:c r="L23" s="40">
        <ns0:f t="shared" si="11"/>
        <ns0:v>0</ns0:v>
      </ns0:c>
      <ns0:c r="M23" s="41">
        <ns0:v>0</ns0:v>
      </ns0:c>
      <ns0:c r="N23" s="40">
        <ns0:f t="shared" si="6"/>
        <ns0:v>0</ns0:v>
      </ns0:c>
      <ns0:c r="O23" s="42">
        <ns0:v>0</ns0:v>
      </ns0:c>
      <ns0:c r="P23" s="40">
        <ns0:f t="shared" si="7"/>
        <ns0:v>0</ns0:v>
      </ns0:c>
      <ns0:c r="Q23" s="43">
        <ns0:f t="shared" si="8"/>
        <ns0:v>0</ns0:v>
      </ns0:c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</ns0:row>
    <ns0:row r="24" ht="12.75" customHeight="1">
      <ns0:c r="A24" s="1">
        <ns0:f t="shared" si="10"/>
        <ns0:v>17</ns0:v>
      </ns0:c>
      <ns0:c r="B24" s="33" t="s">
        <ns0:v>32</ns0:v>
      </ns0:c>
      <ns0:c r="C24" s="49">
        <ns0:v>17.0</ns0:v>
      </ns0:c>
      <ns0:c r="D24" s="35">
        <ns0:f t="shared" si="1"/>
        <ns0:v>0</ns0:v>
      </ns0:c>
      <ns0:c r="E24" s="36">
        <ns0:f t="shared" si="2"/>
        <ns0:v>0</ns0:v>
      </ns0:c>
      <ns0:c r="F24" s="37">
        <ns0:f t="shared" si="3"/>
        <ns0:v>0</ns0:v>
      </ns0:c>
      <ns0:c r="G24" s="38">
        <ns0:v>0</ns0:v>
      </ns0:c>
      <ns0:c r="H24" s="50">
        <ns0:v>0</ns0:v>
      </ns0:c>
      <ns0:c r="I24" s="50">
        <ns0:v>0</ns0:v>
      </ns0:c>
      <ns0:c r="J24" s="50">
        <ns0:v>0</ns0:v>
      </ns0:c>
      <ns0:c r="K24" s="51">
        <ns0:v>0</ns0:v>
      </ns0:c>
      <ns0:c r="L24" s="40">
        <ns0:f t="shared" si="11"/>
        <ns0:v>0</ns0:v>
      </ns0:c>
      <ns0:c r="M24" s="52">
        <ns0:v>0</ns0:v>
      </ns0:c>
      <ns0:c r="N24" s="40">
        <ns0:f t="shared" si="6"/>
        <ns0:v>0</ns0:v>
      </ns0:c>
      <ns0:c r="O24" s="53">
        <ns0:v>0</ns0:v>
      </ns0:c>
      <ns0:c r="P24" s="40">
        <ns0:f t="shared" si="7"/>
        <ns0:v>0</ns0:v>
      </ns0:c>
      <ns0:c r="Q24" s="43">
        <ns0:f t="shared" si="8"/>
        <ns0:v>0</ns0:v>
      </ns0:c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</ns0:row>
    <ns0:row r="25" ht="12.75" customHeight="1">
      <ns0:c r="A25" s="1">
        <ns0:f>1+A24</ns0:f>
        <ns0:v>18</ns0:v>
      </ns0:c>
      <ns0:c r="B25" s="54"/>
      <ns0:c r="C25" s="55"/>
      <ns0:c r="D25" s="56">
        <ns0:f t="shared" si="1"/>
        <ns0:v>0</ns0:v>
      </ns0:c>
      <ns0:c r="E25" s="57">
        <ns0:f t="shared" si="2"/>
        <ns0:v>0</ns0:v>
      </ns0:c>
      <ns0:c r="F25" s="57">
        <ns0:f t="shared" si="3"/>
        <ns0:v>0</ns0:v>
      </ns0:c>
      <ns0:c r="G25" s="58">
        <ns0:f t="shared" si="4"/>
        <ns0:v>0</ns0:v>
      </ns0:c>
      <ns0:c r="H25" s="57"/>
      <ns0:c r="I25" s="57"/>
      <ns0:c r="J25" s="57"/>
      <ns0:c r="K25" s="59"/>
      <ns0:c r="L25" s="60">
        <ns0:f t="shared" si="11"/>
        <ns0:v>0</ns0:v>
      </ns0:c>
      <ns0:c r="M25" s="61"/>
      <ns0:c r="N25" s="60">
        <ns0:f t="shared" si="6"/>
        <ns0:v>0</ns0:v>
      </ns0:c>
      <ns0:c r="O25" s="62"/>
      <ns0:c r="P25" s="60">
        <ns0:f t="shared" si="7"/>
        <ns0:v>0</ns0:v>
      </ns0:c>
      <ns0:c r="Q25" s="63">
        <ns0:f t="shared" si="8"/>
        <ns0:v>0</ns0:v>
      </ns0:c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</ns0:row>
    <ns0:row r="26" ht="12.75" customHeight="1">
      <ns0:c r="A26" s="16"/>
      <ns0:c r="B26" s="64" t="s">
        <ns0:v>33</ns0:v>
      </ns0:c>
      <ns0:c r="C26" s="65"/>
      <ns0:c r="D26" s="66">
        <ns0:f t="shared" ref="D26:K26" si="12">SUM(D5:D25)</ns0:f>
        <ns0:v>0</ns0:v>
      </ns0:c>
      <ns0:c r="E26" s="67">
        <ns0:f t="shared" si="12"/>
        <ns0:v>0</ns0:v>
      </ns0:c>
      <ns0:c r="F26" s="67">
        <ns0:f t="shared" si="12"/>
        <ns0:v>0</ns0:v>
      </ns0:c>
      <ns0:c r="G26" s="68">
        <ns0:f t="shared" si="12"/>
        <ns0:v>0</ns0:v>
      </ns0:c>
      <ns0:c r="H26" s="67">
        <ns0:f t="shared" si="12"/>
        <ns0:v>0</ns0:v>
      </ns0:c>
      <ns0:c r="I26" s="67">
        <ns0:f t="shared" si="12"/>
        <ns0:v>0</ns0:v>
      </ns0:c>
      <ns0:c r="J26" s="67">
        <ns0:f t="shared" si="12"/>
        <ns0:v>0</ns0:v>
      </ns0:c>
      <ns0:c r="K26" s="69">
        <ns0:f t="shared" si="12"/>
        <ns0:v>0</ns0:v>
      </ns0:c>
      <ns0:c r="L26" s="70" t="str">
        <ns0:f>K26/Q26</ns0:f>
        <ns0:v>#DIV/0!</ns0:v>
      </ns0:c>
      <ns0:c r="M26" s="69">
        <ns0:f>SUM(M5:M25)</ns0:f>
        <ns0:v>0</ns0:v>
      </ns0:c>
      <ns0:c r="N26" s="70" t="str">
        <ns0:f>M26/Q26</ns0:f>
        <ns0:v>#DIV/0!</ns0:v>
      </ns0:c>
      <ns0:c r="O26" s="69">
        <ns0:f>SUM(O5:O25)</ns0:f>
        <ns0:v>0</ns0:v>
      </ns0:c>
      <ns0:c r="P26" s="71" t="str">
        <ns0:f>O26/D26</ns0:f>
        <ns0:v>#DIV/0!</ns0:v>
      </ns0:c>
      <ns0:c r="Q26" s="72">
        <ns0:f>SUM(Q5:Q25)</ns0:f>
        <ns0:v>0</ns0:v>
      </ns0:c>
      <ns0:c r="R26" s="73"/>
      <ns0:c r="S26" s="22"/>
      <ns0:c r="T26" s="22"/>
      <ns0:c r="U26" s="22"/>
      <ns0:c r="V26" s="22"/>
      <ns0:c r="W26" s="22"/>
      <ns0:c r="X26" s="22"/>
      <ns0:c r="Y26" s="22"/>
      <ns0:c r="Z26" s="22"/>
      <ns0:c r="AA26" s="22"/>
      <ns0:c r="AB26" s="22"/>
      <ns0:c r="AC26" s="22"/>
    </ns0:row>
    <ns0:row r="27" ht="12.75" customHeight="1">
      <ns0:c r="A27" s="1"/>
      <ns0:c r="B27" s="74" t="s">
        <ns0:v>34</ns0:v>
      </ns0:c>
      <ns0:c r="C27" s="2"/>
      <ns0:c r="D27" s="75"/>
      <ns0:c r="E27" s="2"/>
      <ns0:c r="F27" s="2"/>
      <ns0:c r="G27" s="4"/>
      <ns0:c r="H27" s="2"/>
      <ns0:c r="I27" s="2"/>
      <ns0:c r="J27" s="2"/>
      <ns0:c r="K27" s="76"/>
      <ns0:c r="L27" s="76"/>
      <ns0:c r="M27" s="76"/>
      <ns0:c r="N27" s="76"/>
      <ns0:c r="O27" s="76"/>
      <ns0:c r="P27" s="76"/>
      <ns0:c r="Q27" s="76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</ns0:row>
    <ns0:row r="28" ht="12.75" customHeight="1">
      <ns0:c r="A28" s="1"/>
      <ns0:c r="B28" s="6" t="s">
        <ns0:v>35</ns0:v>
      </ns0:c>
      <ns0:c r="C28" s="2"/>
      <ns0:c r="D28" s="75"/>
      <ns0:c r="E28" s="77">
        <ns0:f>E26+G26</ns0:f>
        <ns0:v>0</ns0:v>
      </ns0:c>
      <ns0:c r="F28" s="77"/>
      <ns0:c r="G28" s="78">
        <ns0:f>SUM(H28:J28)/1.18</ns0:f>
        <ns0:v>0</ns0:v>
      </ns0:c>
      <ns0:c r="H28" s="79">
        <ns0:f t="shared" ref="H28:J28" si="13">H26*1.18</ns0:f>
        <ns0:v>0</ns0:v>
      </ns0:c>
      <ns0:c r="I28" s="79">
        <ns0:f t="shared" si="13"/>
        <ns0:v>0</ns0:v>
      </ns0:c>
      <ns0:c r="J28" s="79">
        <ns0:f t="shared" si="13"/>
        <ns0:v>0</ns0:v>
      </ns0:c>
      <ns0:c r="K28" s="80" t="str">
        <ns0:f>E26*L26*1.18</ns0:f>
        <ns0:v>#DIV/0!</ns0:v>
      </ns0:c>
      <ns0:c r="L28" s="81"/>
      <ns0:c r="M28" s="82" t="str">
        <ns0:f>E26*N26*1.18</ns0:f>
        <ns0:v>#DIV/0!</ns0:v>
      </ns0:c>
      <ns0:c r="N28" s="83"/>
      <ns0:c r="O28" s="82" t="str">
        <ns0:f>E26*P26*1.18</ns0:f>
        <ns0:v>#DIV/0!</ns0:v>
      </ns0:c>
      <ns0:c r="P28" s="83"/>
      <ns0:c r="Q28" s="84" t="str">
        <ns0:f>(K28+M28+O28)/1.18</ns0:f>
        <ns0:v>#DIV/0!</ns0:v>
      </ns0:c>
      <ns0:c r="R28" s="85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</ns0:row>
    <ns0:row r="29" ht="12.75" customHeight="1">
      <ns0:c r="A29" s="1"/>
      <ns0:c r="B29" s="86"/>
      <ns0:c r="C29" s="2"/>
      <ns0:c r="D29" s="75"/>
      <ns0:c r="E29" s="77" t="str">
        <ns0:f>G28+Q28</ns0:f>
        <ns0:v>#DIV/0!</ns0:v>
      </ns0:c>
      <ns0:c r="F29" s="2"/>
      <ns0:c r="G29" s="4"/>
      <ns0:c r="H29" s="85"/>
      <ns0:c r="I29" s="85"/>
      <ns0:c r="J29" s="85"/>
      <ns0:c r="K29" s="87"/>
      <ns0:c r="L29" s="88"/>
      <ns0:c r="M29" s="87"/>
      <ns0:c r="N29" s="88"/>
      <ns0:c r="O29" s="87"/>
      <ns0:c r="P29" s="88"/>
      <ns0:c r="Q29" s="87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</ns0:row>
    <ns0:row r="30" ht="12.75" customHeight="1">
      <ns0:c r="A30" s="1"/>
      <ns0:c r="B30" s="86"/>
      <ns0:c r="C30" s="2"/>
      <ns0:c r="D30" s="75"/>
      <ns0:c r="E30" s="2"/>
      <ns0:c r="F30" s="2"/>
      <ns0:c r="G30" s="4"/>
      <ns0:c r="H30" s="2"/>
      <ns0:c r="I30" s="2"/>
      <ns0:c r="J30" s="2"/>
      <ns0:c r="K30" s="2"/>
      <ns0:c r="L30" s="2"/>
      <ns0:c r="M30" s="2"/>
      <ns0:c r="N30" s="2"/>
      <ns0:c r="O30" s="2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</ns0:row>
    <ns0:row r="31" ht="12.75" customHeight="1">
      <ns0:c r="A31" s="1"/>
      <ns0:c r="B31" s="2"/>
      <ns0:c r="C31" s="2"/>
      <ns0:c r="D31" s="75"/>
      <ns0:c r="E31" s="2"/>
      <ns0:c r="F31" s="2"/>
      <ns0:c r="G31" s="4"/>
      <ns0:c r="H31" s="2"/>
      <ns0:c r="I31" s="2"/>
      <ns0:c r="J31" s="2"/>
      <ns0:c r="K31" s="2"/>
      <ns0:c r="L31" s="2"/>
      <ns0:c r="M31" s="2"/>
      <ns0:c r="N31" s="2"/>
      <ns0:c r="O31" s="2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</ns0:row>
    <ns0:row r="32" ht="12.75" customHeight="1">
      <ns0:c r="A32" s="16"/>
      <ns0:c r="B32" s="89" t="s">
        <ns0:v>36</ns0:v>
      </ns0:c>
      <ns0:c r="C32" s="90"/>
      <ns0:c r="D32" s="91"/>
      <ns0:c r="E32" s="92"/>
      <ns0:c r="F32" s="92"/>
      <ns0:c r="G32" s="93"/>
      <ns0:c r="H32" s="92"/>
      <ns0:c r="I32" s="92"/>
      <ns0:c r="J32" s="92"/>
      <ns0:c r="K32" s="92"/>
      <ns0:c r="L32" s="92"/>
      <ns0:c r="M32" s="92"/>
      <ns0:c r="N32" s="92"/>
      <ns0:c r="O32" s="92"/>
      <ns0:c r="P32" s="92"/>
      <ns0:c r="Q32" s="94"/>
      <ns0:c r="R32" s="22"/>
      <ns0:c r="S32" s="22"/>
      <ns0:c r="T32" s="22"/>
      <ns0:c r="U32" s="22"/>
      <ns0:c r="V32" s="22"/>
      <ns0:c r="W32" s="22"/>
      <ns0:c r="X32" s="22"/>
      <ns0:c r="Y32" s="22"/>
      <ns0:c r="Z32" s="22"/>
      <ns0:c r="AA32" s="22"/>
      <ns0:c r="AB32" s="22"/>
      <ns0:c r="AC32" s="22"/>
    </ns0:row>
    <ns0:row r="33" ht="12.75" customHeight="1">
      <ns0:c r="A33" s="1"/>
      <ns0:c r="B33" s="23"/>
      <ns0:c r="C33" s="95">
        <ns0:v>20.0</ns0:v>
      </ns0:c>
      <ns0:c r="D33" s="96">
        <ns0:f t="shared" ref="D33:D39" si="14">Q33</ns0:f>
        <ns0:v>0</ns0:v>
      </ns0:c>
      <ns0:c r="E33" s="26">
        <ns0:f t="shared" ref="E33:E39" si="15">IF(D33&gt;40,(D33-40)*(C33*1.5)+(C33*40),D33*C33)</ns0:f>
        <ns0:v>0</ns0:v>
      </ns0:c>
      <ns0:c r="F33" s="97">
        <ns0:f t="shared" ref="F33:F39" si="16">IF(D33&gt;40,(D33-40)*(C33*0.5),0)</ns0:f>
        <ns0:v>0</ns0:v>
      </ns0:c>
      <ns0:c r="G33" s="27">
        <ns0:f t="shared" ref="G33:G39" si="17">SUM(H33:J33)</ns0:f>
        <ns0:v>0</ns0:v>
      </ns0:c>
      <ns0:c r="H33" s="26"/>
      <ns0:c r="I33" s="26"/>
      <ns0:c r="J33" s="26"/>
      <ns0:c r="K33" s="31"/>
      <ns0:c r="L33" s="29">
        <ns0:f t="shared" ref="L33:L40" si="18">IFERROR(K33/Q33,0)</ns0:f>
        <ns0:v>0</ns0:v>
      </ns0:c>
      <ns0:c r="M33" s="31"/>
      <ns0:c r="N33" s="29">
        <ns0:f t="shared" ref="N33:N40" si="19">IFERROR(M33/Q33,0)</ns0:f>
        <ns0:v>0</ns0:v>
      </ns0:c>
      <ns0:c r="O33" s="31"/>
      <ns0:c r="P33" s="29">
        <ns0:f t="shared" ref="P33:P40" si="20">IFERROR(O33/Q33,0)</ns0:f>
        <ns0:v>0</ns0:v>
      </ns0:c>
      <ns0:c r="Q33" s="32">
        <ns0:f t="shared" ref="Q33:Q39" si="21">K33+M33+O33</ns0:f>
        <ns0:v>0</ns0:v>
      </ns0:c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</ns0:row>
    <ns0:row r="34">
      <ns0:c r="A34" s="1">
        <ns0:v>1.0</ns0:v>
      </ns0:c>
      <ns0:c r="B34" s="98" t="s">
        <ns0:v>37</ns0:v>
      </ns0:c>
      <ns0:c r="C34" s="99">
        <ns0:v>17.0</ns0:v>
      </ns0:c>
      <ns0:c r="D34" s="35">
        <ns0:f t="shared" si="14"/>
        <ns0:v>0</ns0:v>
      </ns0:c>
      <ns0:c r="E34" s="37">
        <ns0:f t="shared" si="15"/>
        <ns0:v>0</ns0:v>
      </ns0:c>
      <ns0:c r="F34" s="100">
        <ns0:f t="shared" si="16"/>
        <ns0:v>0</ns0:v>
      </ns0:c>
      <ns0:c r="G34" s="38">
        <ns0:v>0</ns0:v>
      </ns0:c>
      <ns0:c r="H34" s="37">
        <ns0:v>0</ns0:v>
      </ns0:c>
      <ns0:c r="I34" s="37">
        <ns0:v>0</ns0:v>
      </ns0:c>
      <ns0:c r="J34" s="37">
        <ns0:v>0</ns0:v>
      </ns0:c>
      <ns0:c r="K34" s="42">
        <ns0:v>22</ns0:v>
      </ns0:c>
      <ns0:c r="L34" s="40">
        <ns0:f t="shared" si="18"/>
        <ns0:v>0</ns0:v>
      </ns0:c>
      <ns0:c r="M34" s="42">
        <ns0:v>10.5</ns0:v>
      </ns0:c>
      <ns0:c r="N34" s="40">
        <ns0:f t="shared" si="19"/>
        <ns0:v>0</ns0:v>
      </ns0:c>
      <ns0:c r="O34" s="42">
        <ns0:v>0</ns0:v>
      </ns0:c>
      <ns0:c r="P34" s="40">
        <ns0:f t="shared" si="20"/>
        <ns0:v>0</ns0:v>
      </ns0:c>
      <ns0:c r="Q34" s="43">
        <ns0:f t="shared" si="21"/>
        <ns0:v>0</ns0:v>
      </ns0:c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</ns0:row>
    <ns0:row r="35" ht="12.75" customHeight="1">
      <ns0:c r="A35" s="1">
        <ns0:v>2.0</ns0:v>
      </ns0:c>
      <ns0:c r="B35" s="33" t="s">
        <ns0:v>38</ns0:v>
      </ns0:c>
      <ns0:c r="C35" s="99">
        <ns0:v>16.0</ns0:v>
      </ns0:c>
      <ns0:c r="D35" s="35">
        <ns0:f t="shared" si="14"/>
        <ns0:v>0</ns0:v>
      </ns0:c>
      <ns0:c r="E35" s="37">
        <ns0:f t="shared" si="15"/>
        <ns0:v>0</ns0:v>
      </ns0:c>
      <ns0:c r="F35" s="100">
        <ns0:f t="shared" si="16"/>
        <ns0:v>0</ns0:v>
      </ns0:c>
      <ns0:c r="G35" s="38">
        <ns0:v>0</ns0:v>
      </ns0:c>
      <ns0:c r="H35" s="37">
        <ns0:v>0</ns0:v>
      </ns0:c>
      <ns0:c r="I35" s="37">
        <ns0:v>0</ns0:v>
      </ns0:c>
      <ns0:c r="J35" s="37">
        <ns0:v>0</ns0:v>
      </ns0:c>
      <ns0:c r="K35" s="42">
        <ns0:v>0</ns0:v>
      </ns0:c>
      <ns0:c r="L35" s="40">
        <ns0:f t="shared" si="18"/>
        <ns0:v>0</ns0:v>
      </ns0:c>
      <ns0:c r="M35" s="42">
        <ns0:v>0</ns0:v>
      </ns0:c>
      <ns0:c r="N35" s="40">
        <ns0:f t="shared" si="19"/>
        <ns0:v>0</ns0:v>
      </ns0:c>
      <ns0:c r="O35" s="42">
        <ns0:v>0</ns0:v>
      </ns0:c>
      <ns0:c r="P35" s="40">
        <ns0:f t="shared" si="20"/>
        <ns0:v>0</ns0:v>
      </ns0:c>
      <ns0:c r="Q35" s="43">
        <ns0:f t="shared" si="21"/>
        <ns0:v>0</ns0:v>
      </ns0:c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</ns0:row>
    <ns0:row r="36" ht="12.75" hidden="1" customHeight="1">
      <ns0:c r="A36" s="1">
        <ns0:f>1+A35</ns0:f>
        <ns0:v>3</ns0:v>
      </ns0:c>
      <ns0:c r="B36" s="33" t="s">
        <ns0:v>39</ns0:v>
      </ns0:c>
      <ns0:c r="C36" s="99">
        <ns0:v>21.0</ns0:v>
      </ns0:c>
      <ns0:c r="D36" s="35">
        <ns0:f t="shared" si="14"/>
        <ns0:v>0</ns0:v>
      </ns0:c>
      <ns0:c r="E36" s="37">
        <ns0:f t="shared" si="15"/>
        <ns0:v>0</ns0:v>
      </ns0:c>
      <ns0:c r="F36" s="100">
        <ns0:f t="shared" si="16"/>
        <ns0:v>0</ns0:v>
      </ns0:c>
      <ns0:c r="G36" s="38">
        <ns0:v>0</ns0:v>
      </ns0:c>
      <ns0:c r="H36" s="37">
        <ns0:v>0</ns0:v>
      </ns0:c>
      <ns0:c r="I36" s="37">
        <ns0:v>0</ns0:v>
      </ns0:c>
      <ns0:c r="J36" s="37">
        <ns0:v>0</ns0:v>
      </ns0:c>
      <ns0:c r="K36" s="42">
        <ns0:v>0</ns0:v>
      </ns0:c>
      <ns0:c r="L36" s="40">
        <ns0:f t="shared" si="18"/>
        <ns0:v>0</ns0:v>
      </ns0:c>
      <ns0:c r="M36" s="42">
        <ns0:v>0</ns0:v>
      </ns0:c>
      <ns0:c r="N36" s="40">
        <ns0:f t="shared" si="19"/>
        <ns0:v>0</ns0:v>
      </ns0:c>
      <ns0:c r="O36" s="42">
        <ns0:v>0</ns0:v>
      </ns0:c>
      <ns0:c r="P36" s="40">
        <ns0:f t="shared" si="20"/>
        <ns0:v>0</ns0:v>
      </ns0:c>
      <ns0:c r="Q36" s="43">
        <ns0:f t="shared" si="21"/>
        <ns0:v>0</ns0:v>
      </ns0:c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</ns0:row>
    <ns0:row r="37" ht="12.75" customHeight="1">
      <ns0:c r="A37" s="1">
        <ns0:v>3.0</ns0:v>
      </ns0:c>
      <ns0:c r="B37" s="33" t="s">
        <ns0:v>40</ns0:v>
      </ns0:c>
      <ns0:c r="C37" s="99">
        <ns0:v>15.0</ns0:v>
      </ns0:c>
      <ns0:c r="D37" s="35">
        <ns0:f t="shared" si="14"/>
        <ns0:v>0</ns0:v>
      </ns0:c>
      <ns0:c r="E37" s="37">
        <ns0:f t="shared" si="15"/>
        <ns0:v>0</ns0:v>
      </ns0:c>
      <ns0:c r="F37" s="100">
        <ns0:f t="shared" si="16"/>
        <ns0:v>0</ns0:v>
      </ns0:c>
      <ns0:c r="G37" s="38">
        <ns0:v>0</ns0:v>
      </ns0:c>
      <ns0:c r="H37" s="37">
        <ns0:v>0</ns0:v>
      </ns0:c>
      <ns0:c r="I37" s="37">
        <ns0:v>0</ns0:v>
      </ns0:c>
      <ns0:c r="J37" s="37">
        <ns0:v>0</ns0:v>
      </ns0:c>
      <ns0:c r="K37" s="42">
        <ns0:v>0</ns0:v>
      </ns0:c>
      <ns0:c r="L37" s="40">
        <ns0:f t="shared" si="18"/>
        <ns0:v>0</ns0:v>
      </ns0:c>
      <ns0:c r="M37" s="42">
        <ns0:v>0</ns0:v>
      </ns0:c>
      <ns0:c r="N37" s="40">
        <ns0:f t="shared" si="19"/>
        <ns0:v>0</ns0:v>
      </ns0:c>
      <ns0:c r="O37" s="42">
        <ns0:v>0</ns0:v>
      </ns0:c>
      <ns0:c r="P37" s="40">
        <ns0:f t="shared" si="20"/>
        <ns0:v>0</ns0:v>
      </ns0:c>
      <ns0:c r="Q37" s="43">
        <ns0:f t="shared" si="21"/>
        <ns0:v>0</ns0:v>
      </ns0:c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</ns0:row>
    <ns0:row r="38" ht="12.75" hidden="1" customHeight="1">
      <ns0:c r="A38" s="1">
        <ns0:f>1+A37</ns0:f>
        <ns0:v>4</ns0:v>
      </ns0:c>
      <ns0:c r="B38" s="33" t="s">
        <ns0:v>41</ns0:v>
      </ns0:c>
      <ns0:c r="C38" s="99">
        <ns0:v>18.0</ns0:v>
      </ns0:c>
      <ns0:c r="D38" s="35">
        <ns0:f t="shared" si="14"/>
        <ns0:v>0</ns0:v>
      </ns0:c>
      <ns0:c r="E38" s="37">
        <ns0:f t="shared" si="15"/>
        <ns0:v>0</ns0:v>
      </ns0:c>
      <ns0:c r="F38" s="100">
        <ns0:f t="shared" si="16"/>
        <ns0:v>0</ns0:v>
      </ns0:c>
      <ns0:c r="G38" s="38">
        <ns0:v>0</ns0:v>
      </ns0:c>
      <ns0:c r="H38" s="37">
        <ns0:v>0</ns0:v>
      </ns0:c>
      <ns0:c r="I38" s="37">
        <ns0:v>0</ns0:v>
      </ns0:c>
      <ns0:c r="J38" s="37">
        <ns0:v>0</ns0:v>
      </ns0:c>
      <ns0:c r="K38" s="42">
        <ns0:v>0</ns0:v>
      </ns0:c>
      <ns0:c r="L38" s="40">
        <ns0:f t="shared" si="18"/>
        <ns0:v>0</ns0:v>
      </ns0:c>
      <ns0:c r="M38" s="42">
        <ns0:v>0</ns0:v>
      </ns0:c>
      <ns0:c r="N38" s="40">
        <ns0:f t="shared" si="19"/>
        <ns0:v>0</ns0:v>
      </ns0:c>
      <ns0:c r="O38" s="42">
        <ns0:v>0</ns0:v>
      </ns0:c>
      <ns0:c r="P38" s="40">
        <ns0:f t="shared" si="20"/>
        <ns0:v>0</ns0:v>
      </ns0:c>
      <ns0:c r="Q38" s="43">
        <ns0:f t="shared" si="21"/>
        <ns0:v>0</ns0:v>
      </ns0:c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</ns0:row>
    <ns0:row r="39" ht="12.75" hidden="1" customHeight="1">
      <ns0:c r="A39" s="1"/>
      <ns0:c r="B39" s="44"/>
      <ns0:c r="C39" s="99">
        <ns0:v>20.0</ns0:v>
      </ns0:c>
      <ns0:c r="D39" s="35">
        <ns0:f t="shared" si="14"/>
        <ns0:v>0</ns0:v>
      </ns0:c>
      <ns0:c r="E39" s="37">
        <ns0:f t="shared" si="15"/>
        <ns0:v>0</ns0:v>
      </ns0:c>
      <ns0:c r="F39" s="100">
        <ns0:f t="shared" si="16"/>
        <ns0:v>0</ns0:v>
      </ns0:c>
      <ns0:c r="G39" s="58">
        <ns0:f t="shared" si="17"/>
        <ns0:v>0</ns0:v>
      </ns0:c>
      <ns0:c r="H39" s="57"/>
      <ns0:c r="I39" s="57"/>
      <ns0:c r="J39" s="57"/>
      <ns0:c r="K39" s="62"/>
      <ns0:c r="L39" s="60">
        <ns0:f t="shared" si="18"/>
        <ns0:v>0</ns0:v>
      </ns0:c>
      <ns0:c r="M39" s="62"/>
      <ns0:c r="N39" s="60">
        <ns0:f t="shared" si="19"/>
        <ns0:v>0</ns0:v>
      </ns0:c>
      <ns0:c r="O39" s="62"/>
      <ns0:c r="P39" s="60">
        <ns0:f t="shared" si="20"/>
        <ns0:v>0</ns0:v>
      </ns0:c>
      <ns0:c r="Q39" s="101">
        <ns0:f t="shared" si="21"/>
        <ns0:v>0</ns0:v>
      </ns0:c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</ns0:row>
    <ns0:row r="40" ht="12.75" customHeight="1">
      <ns0:c r="A40" s="16"/>
      <ns0:c r="B40" s="64" t="s">
        <ns0:v>2</ns0:v>
      </ns0:c>
      <ns0:c r="C40" s="65"/>
      <ns0:c r="D40" s="66">
        <ns0:f t="shared" ref="D40:K40" si="22">SUM(D33:D39)</ns0:f>
        <ns0:v>0</ns0:v>
      </ns0:c>
      <ns0:c r="E40" s="67">
        <ns0:f t="shared" si="22"/>
        <ns0:v>0</ns0:v>
      </ns0:c>
      <ns0:c r="F40" s="102">
        <ns0:f t="shared" si="22"/>
        <ns0:v>0</ns0:v>
      </ns0:c>
      <ns0:c r="G40" s="103">
        <ns0:f t="shared" si="22"/>
        <ns0:v>0</ns0:v>
      </ns0:c>
      <ns0:c r="H40" s="102">
        <ns0:f t="shared" si="22"/>
        <ns0:v>0</ns0:v>
      </ns0:c>
      <ns0:c r="I40" s="102">
        <ns0:f t="shared" si="22"/>
        <ns0:v>0</ns0:v>
      </ns0:c>
      <ns0:c r="J40" s="102">
        <ns0:f t="shared" si="22"/>
        <ns0:v>0</ns0:v>
      </ns0:c>
      <ns0:c r="K40" s="102">
        <ns0:f t="shared" si="22"/>
        <ns0:v>0</ns0:v>
      </ns0:c>
      <ns0:c r="L40" s="60">
        <ns0:f t="shared" si="18"/>
        <ns0:v>0</ns0:v>
      </ns0:c>
      <ns0:c r="M40" s="104">
        <ns0:f>SUM(M33:M39)</ns0:f>
        <ns0:v>0</ns0:v>
      </ns0:c>
      <ns0:c r="N40" s="60">
        <ns0:f t="shared" si="19"/>
        <ns0:v>0</ns0:v>
      </ns0:c>
      <ns0:c r="O40" s="104">
        <ns0:f>SUM(O33:O39)</ns0:f>
        <ns0:v>0</ns0:v>
      </ns0:c>
      <ns0:c r="P40" s="60">
        <ns0:f t="shared" si="20"/>
        <ns0:v>0</ns0:v>
      </ns0:c>
      <ns0:c r="Q40" s="105">
        <ns0:f>SUM(Q33:Q39)</ns0:f>
        <ns0:v>0</ns0:v>
      </ns0:c>
      <ns0:c r="R40" s="22"/>
      <ns0:c r="S40" s="22"/>
      <ns0:c r="T40" s="22"/>
      <ns0:c r="U40" s="22"/>
      <ns0:c r="V40" s="22"/>
      <ns0:c r="W40" s="22"/>
      <ns0:c r="X40" s="22"/>
      <ns0:c r="Y40" s="22"/>
      <ns0:c r="Z40" s="22"/>
      <ns0:c r="AA40" s="22"/>
      <ns0:c r="AB40" s="22"/>
      <ns0:c r="AC40" s="22"/>
    </ns0:row>
    <ns0:row r="41" ht="12.75" customHeight="1">
      <ns0:c r="A41" s="1"/>
      <ns0:c r="B41" s="106" t="s">
        <ns0:v>34</ns0:v>
      </ns0:c>
      <ns0:c r="C41" s="2"/>
      <ns0:c r="D41" s="75"/>
      <ns0:c r="E41" s="107"/>
      <ns0:c r="F41" s="107"/>
      <ns0:c r="G41" s="108"/>
      <ns0:c r="H41" s="107"/>
      <ns0:c r="I41" s="107"/>
      <ns0:c r="J41" s="107"/>
      <ns0:c r="K41" s="76"/>
      <ns0:c r="L41" s="76"/>
      <ns0:c r="M41" s="76"/>
      <ns0:c r="N41" s="76"/>
      <ns0:c r="O41" s="76"/>
      <ns0:c r="P41" s="76"/>
      <ns0:c r="Q41" s="76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</ns0:row>
    <ns0:row r="42" ht="12.75" customHeight="1">
      <ns0:c r="A42" s="1"/>
      <ns0:c r="B42" s="6" t="s">
        <ns0:v>35</ns0:v>
      </ns0:c>
      <ns0:c r="C42" s="2"/>
      <ns0:c r="D42" s="75"/>
      <ns0:c r="E42" s="77">
        <ns0:f>E40+G40</ns0:f>
        <ns0:v>0</ns0:v>
      </ns0:c>
      <ns0:c r="F42" s="77"/>
      <ns0:c r="G42" s="78">
        <ns0:f>SUM(H42:J42)/1.24</ns0:f>
        <ns0:v>0</ns0:v>
      </ns0:c>
      <ns0:c r="H42" s="79">
        <ns0:f t="shared" ref="H42:J42" si="23">H40*1.24</ns0:f>
        <ns0:v>0</ns0:v>
      </ns0:c>
      <ns0:c r="I42" s="79">
        <ns0:f t="shared" si="23"/>
        <ns0:v>0</ns0:v>
      </ns0:c>
      <ns0:c r="J42" s="79">
        <ns0:f t="shared" si="23"/>
        <ns0:v>0</ns0:v>
      </ns0:c>
      <ns0:c r="K42" s="109">
        <ns0:f>SUMPRODUCT(E33:E39,L33:L39)*1.24</ns0:f>
        <ns0:v>0</ns0:v>
      </ns0:c>
      <ns0:c r="L42" s="110"/>
      <ns0:c r="M42" s="109">
        <ns0:f>SUMPRODUCT(E33:E39,N33:N39)*1.24</ns0:f>
        <ns0:v>0</ns0:v>
      </ns0:c>
      <ns0:c r="N42" s="110"/>
      <ns0:c r="O42" s="109">
        <ns0:f>SUMPRODUCT(E33:E39,P33:P39)*1.24</ns0:f>
        <ns0:v>0</ns0:v>
      </ns0:c>
      <ns0:c r="P42" s="110"/>
      <ns0:c r="Q42" s="111">
        <ns0:f>(K42+M42+O42)/1.24</ns0:f>
        <ns0:v>0</ns0:v>
      </ns0:c>
      <ns0:c r="R42" s="77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</ns0:row>
    <ns0:row r="43" ht="12.75" customHeight="1">
      <ns0:c r="A43" s="1"/>
      <ns0:c r="B43" s="86"/>
      <ns0:c r="C43" s="2"/>
      <ns0:c r="D43" s="75"/>
      <ns0:c r="E43" s="77">
        <ns0:f>G42+Q42</ns0:f>
        <ns0:v>0</ns0:v>
      </ns0:c>
      <ns0:c r="F43" s="107"/>
      <ns0:c r="G43" s="108"/>
      <ns0:c r="H43" s="107"/>
      <ns0:c r="I43" s="107"/>
      <ns0:c r="J43" s="107"/>
      <ns0:c r="K43" s="110"/>
      <ns0:c r="L43" s="110"/>
      <ns0:c r="M43" s="110"/>
      <ns0:c r="N43" s="110"/>
      <ns0:c r="O43" s="110"/>
      <ns0:c r="P43" s="110"/>
      <ns0:c r="Q43" s="110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</ns0:row>
    <ns0:row r="44" ht="12.75" customHeight="1">
      <ns0:c r="A44" s="1"/>
      <ns0:c r="B44" s="86"/>
      <ns0:c r="C44" s="2"/>
      <ns0:c r="D44" s="75"/>
      <ns0:c r="E44" s="77"/>
      <ns0:c r="F44" s="107"/>
      <ns0:c r="G44" s="108"/>
      <ns0:c r="H44" s="107"/>
      <ns0:c r="I44" s="107"/>
      <ns0:c r="J44" s="107"/>
      <ns0:c r="K44" s="110"/>
      <ns0:c r="L44" s="110"/>
      <ns0:c r="M44" s="110"/>
      <ns0:c r="N44" s="110"/>
      <ns0:c r="O44" s="110"/>
      <ns0:c r="P44" s="77"/>
      <ns0:c r="Q44" s="110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</ns0:row>
    <ns0:row r="45" ht="12.75" customHeight="1">
      <ns0:c r="A45" s="1"/>
      <ns0:c r="B45" s="2"/>
      <ns0:c r="C45" s="2"/>
      <ns0:c r="D45" s="75"/>
      <ns0:c r="E45" s="2"/>
      <ns0:c r="F45" s="2"/>
      <ns0:c r="G45" s="4"/>
      <ns0:c r="H45" s="2"/>
      <ns0:c r="I45" s="2"/>
      <ns0:c r="J45" s="2"/>
      <ns0:c r="K45" s="2"/>
      <ns0:c r="L45" s="2"/>
      <ns0:c r="M45" s="2"/>
      <ns0:c r="N45" s="2"/>
      <ns0:c r="O45" s="2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</ns0:row>
    <ns0:row r="46" ht="12.75" customHeight="1">
      <ns0:c r="A46" s="16"/>
      <ns0:c r="B46" s="89" t="s">
        <ns0:v>42</ns0:v>
      </ns0:c>
      <ns0:c r="C46" s="112"/>
      <ns0:c r="D46" s="113"/>
      <ns0:c r="E46" s="112"/>
      <ns0:c r="F46" s="112"/>
      <ns0:c r="G46" s="114"/>
      <ns0:c r="H46" s="112"/>
      <ns0:c r="I46" s="112"/>
      <ns0:c r="J46" s="112"/>
      <ns0:c r="K46" s="115"/>
      <ns0:c r="L46" s="115"/>
      <ns0:c r="M46" s="115"/>
      <ns0:c r="N46" s="115"/>
      <ns0:c r="O46" s="115"/>
      <ns0:c r="P46" s="115"/>
      <ns0:c r="Q46" s="116"/>
      <ns0:c r="R46" s="22"/>
      <ns0:c r="S46" s="22"/>
      <ns0:c r="T46" s="22"/>
      <ns0:c r="U46" s="22"/>
      <ns0:c r="V46" s="22"/>
      <ns0:c r="W46" s="22"/>
      <ns0:c r="X46" s="22"/>
      <ns0:c r="Y46" s="22"/>
      <ns0:c r="Z46" s="22"/>
      <ns0:c r="AA46" s="22"/>
      <ns0:c r="AB46" s="22"/>
      <ns0:c r="AC46" s="22"/>
    </ns0:row>
    <ns0:row r="47" ht="12.75" customHeight="1">
      <ns0:c r="A47" s="1">
        <ns0:v>1.0</ns0:v>
      </ns0:c>
      <ns0:c r="B47" s="117" t="s">
        <ns0:v>43</ns0:v>
      </ns0:c>
      <ns0:c r="C47" s="95">
        <ns0:v>17.0</ns0:v>
      </ns0:c>
      <ns0:c r="D47" s="118">
        <ns0:f t="shared" ref="D47:D56" si="24">Q47</ns0:f>
        <ns0:v>0</ns0:v>
      </ns0:c>
      <ns0:c r="E47" s="26">
        <ns0:f t="shared" ref="E47:E56" si="25">IF(D47&gt;40,(D47-40)*(C47*1.5)+(C47*40),D47*C47)</ns0:f>
        <ns0:v>0</ns0:v>
      </ns0:c>
      <ns0:c r="F47" s="119">
        <ns0:f t="shared" ref="F47:F56" si="26">IF(D47&gt;40,(D47-40)*(C47*0.5),0)</ns0:f>
        <ns0:v>0</ns0:v>
      </ns0:c>
      <ns0:c r="G47" s="27">
        <ns0:v>0</ns0:v>
      </ns0:c>
      <ns0:c r="H47" s="26">
        <ns0:v>0</ns0:v>
      </ns0:c>
      <ns0:c r="I47" s="26">
        <ns0:v>0</ns0:v>
      </ns0:c>
      <ns0:c r="J47" s="26">
        <ns0:v>0</ns0:v>
      </ns0:c>
      <ns0:c r="K47" s="31">
        <ns0:v>32</ns0:v>
      </ns0:c>
      <ns0:c r="L47" s="29">
        <ns0:f t="shared" ref="L47:L57" si="28">IFERROR(K47/Q47,0)</ns0:f>
        <ns0:v>0</ns0:v>
      </ns0:c>
      <ns0:c r="M47" s="31">
        <ns0:v>0</ns0:v>
      </ns0:c>
      <ns0:c r="N47" s="29">
        <ns0:f t="shared" ref="N47:N57" si="29">IFERROR(M47/Q47,0)</ns0:f>
        <ns0:v>0</ns0:v>
      </ns0:c>
      <ns0:c r="O47" s="31">
        <ns0:v>0</ns0:v>
      </ns0:c>
      <ns0:c r="P47" s="29">
        <ns0:f t="shared" ref="P47:P57" si="30">IFERROR(O47/Q47,0)</ns0:f>
        <ns0:v>0</ns0:v>
      </ns0:c>
      <ns0:c r="Q47" s="32">
        <ns0:f t="shared" ref="Q47:Q56" si="31">K47+M47+O47</ns0:f>
        <ns0:v>0</ns0:v>
      </ns0:c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</ns0:row>
    <ns0:row r="48" ht="12.75" customHeight="1">
      <ns0:c r="A48" s="1">
        <ns0:f>A47+1</ns0:f>
        <ns0:v>2</ns0:v>
      </ns0:c>
      <ns0:c r="B48" s="120" t="s">
        <ns0:v>44</ns0:v>
      </ns0:c>
      <ns0:c r="C48" s="99">
        <ns0:v>17.0</ns0:v>
      </ns0:c>
      <ns0:c r="D48" s="121">
        <ns0:f t="shared" si="24"/>
        <ns0:v>0</ns0:v>
      </ns0:c>
      <ns0:c r="E48" s="37">
        <ns0:f t="shared" si="25"/>
        <ns0:v>0</ns0:v>
      </ns0:c>
      <ns0:c r="F48" s="36">
        <ns0:f t="shared" si="26"/>
        <ns0:v>0</ns0:v>
      </ns0:c>
      <ns0:c r="G48" s="122">
        <ns0:v>0</ns0:v>
      </ns0:c>
      <ns0:c r="H48" s="37">
        <ns0:v>0</ns0:v>
      </ns0:c>
      <ns0:c r="I48" s="37">
        <ns0:v>0</ns0:v>
      </ns0:c>
      <ns0:c r="J48" s="37">
        <ns0:v>0</ns0:v>
      </ns0:c>
      <ns0:c r="K48" s="48">
        <ns0:v>40</ns0:v>
      </ns0:c>
      <ns0:c r="L48" s="123">
        <ns0:f t="shared" si="28"/>
        <ns0:v>0</ns0:v>
      </ns0:c>
      <ns0:c r="M48" s="48">
        <ns0:v>0</ns0:v>
      </ns0:c>
      <ns0:c r="N48" s="123">
        <ns0:f t="shared" si="29"/>
        <ns0:v>0</ns0:v>
      </ns0:c>
      <ns0:c r="O48" s="48">
        <ns0:v>0</ns0:v>
      </ns0:c>
      <ns0:c r="P48" s="123">
        <ns0:f t="shared" si="30"/>
        <ns0:v>0</ns0:v>
      </ns0:c>
      <ns0:c r="Q48" s="124">
        <ns0:f t="shared" si="31"/>
        <ns0:v>0</ns0:v>
      </ns0:c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</ns0:row>
    <ns0:row r="49" ht="12.75" customHeight="1">
      <ns0:c r="A49" s="1">
        <ns0:f t="shared" ref="A49:A56" si="32">1+A48</ns0:f>
        <ns0:v>3</ns0:v>
      </ns0:c>
      <ns0:c r="B49" s="120" t="s">
        <ns0:v>45</ns0:v>
      </ns0:c>
      <ns0:c r="C49" s="99">
        <ns0:v>17.0</ns0:v>
      </ns0:c>
      <ns0:c r="D49" s="121">
        <ns0:f t="shared" si="24"/>
        <ns0:v>0</ns0:v>
      </ns0:c>
      <ns0:c r="E49" s="37">
        <ns0:f t="shared" si="25"/>
        <ns0:v>0</ns0:v>
      </ns0:c>
      <ns0:c r="F49" s="36">
        <ns0:f t="shared" si="26"/>
        <ns0:v>0</ns0:v>
      </ns0:c>
      <ns0:c r="G49" s="122">
        <ns0:v>0</ns0:v>
      </ns0:c>
      <ns0:c r="H49" s="37">
        <ns0:v>0</ns0:v>
      </ns0:c>
      <ns0:c r="I49" s="37">
        <ns0:v>0</ns0:v>
      </ns0:c>
      <ns0:c r="J49" s="37">
        <ns0:v>0</ns0:v>
      </ns0:c>
      <ns0:c r="K49" s="48">
        <ns0:v>6</ns0:v>
      </ns0:c>
      <ns0:c r="L49" s="123">
        <ns0:f t="shared" si="28"/>
        <ns0:v>0</ns0:v>
      </ns0:c>
      <ns0:c r="M49" s="48">
        <ns0:v>0</ns0:v>
      </ns0:c>
      <ns0:c r="N49" s="123">
        <ns0:f t="shared" si="29"/>
        <ns0:v>0</ns0:v>
      </ns0:c>
      <ns0:c r="O49" s="48">
        <ns0:v>10.5</ns0:v>
      </ns0:c>
      <ns0:c r="P49" s="123">
        <ns0:f t="shared" si="30"/>
        <ns0:v>0</ns0:v>
      </ns0:c>
      <ns0:c r="Q49" s="124">
        <ns0:f t="shared" si="31"/>
        <ns0:v>0</ns0:v>
      </ns0:c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</ns0:row>
    <ns0:row r="50" ht="12.75" customHeight="1">
      <ns0:c r="A50" s="1">
        <ns0:f t="shared" si="32"/>
        <ns0:v>4</ns0:v>
      </ns0:c>
      <ns0:c r="B50" s="125" t="s">
        <ns0:v>46</ns0:v>
      </ns0:c>
      <ns0:c r="C50" s="99">
        <ns0:v>19.0</ns0:v>
      </ns0:c>
      <ns0:c r="D50" s="121">
        <ns0:f t="shared" si="24"/>
        <ns0:v>0</ns0:v>
      </ns0:c>
      <ns0:c r="E50" s="37">
        <ns0:f t="shared" si="25"/>
        <ns0:v>0</ns0:v>
      </ns0:c>
      <ns0:c r="F50" s="36">
        <ns0:f t="shared" si="26"/>
        <ns0:v>0</ns0:v>
      </ns0:c>
      <ns0:c r="G50" s="122">
        <ns0:v>0</ns0:v>
      </ns0:c>
      <ns0:c r="H50" s="37">
        <ns0:v>0</ns0:v>
      </ns0:c>
      <ns0:c r="I50" s="37">
        <ns0:v>0</ns0:v>
      </ns0:c>
      <ns0:c r="J50" s="37">
        <ns0:v>0</ns0:v>
      </ns0:c>
      <ns0:c r="K50" s="48">
        <ns0:v>15.5</ns0:v>
      </ns0:c>
      <ns0:c r="L50" s="123">
        <ns0:f t="shared" si="28"/>
        <ns0:v>0</ns0:v>
      </ns0:c>
      <ns0:c r="M50" s="48">
        <ns0:v>24.5</ns0:v>
      </ns0:c>
      <ns0:c r="N50" s="123">
        <ns0:f t="shared" si="29"/>
        <ns0:v>0</ns0:v>
      </ns0:c>
      <ns0:c r="O50" s="48">
        <ns0:v>0</ns0:v>
      </ns0:c>
      <ns0:c r="P50" s="123">
        <ns0:f t="shared" si="30"/>
        <ns0:v>0</ns0:v>
      </ns0:c>
      <ns0:c r="Q50" s="124">
        <ns0:f t="shared" si="31"/>
        <ns0:v>0</ns0:v>
      </ns0:c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</ns0:row>
    <ns0:row r="51" ht="12.75" customHeight="1">
      <ns0:c r="A51" s="1">
        <ns0:f t="shared" si="32"/>
        <ns0:v>5</ns0:v>
      </ns0:c>
      <ns0:c r="B51" s="125" t="s">
        <ns0:v>47</ns0:v>
      </ns0:c>
      <ns0:c r="C51" s="99">
        <ns0:v>18.0</ns0:v>
      </ns0:c>
      <ns0:c r="D51" s="121">
        <ns0:f t="shared" si="24"/>
        <ns0:v>0</ns0:v>
      </ns0:c>
      <ns0:c r="E51" s="37">
        <ns0:f t="shared" si="25"/>
        <ns0:v>0</ns0:v>
      </ns0:c>
      <ns0:c r="F51" s="36">
        <ns0:f t="shared" si="26"/>
        <ns0:v>0</ns0:v>
      </ns0:c>
      <ns0:c r="G51" s="122">
        <ns0:v>0</ns0:v>
      </ns0:c>
      <ns0:c r="H51" s="37">
        <ns0:v>0</ns0:v>
      </ns0:c>
      <ns0:c r="I51" s="37">
        <ns0:v>0</ns0:v>
      </ns0:c>
      <ns0:c r="J51" s="37">
        <ns0:v>0</ns0:v>
      </ns0:c>
      <ns0:c r="K51" s="48">
        <ns0:v>26.75</ns0:v>
      </ns0:c>
      <ns0:c r="L51" s="123">
        <ns0:f t="shared" si="28"/>
        <ns0:v>0</ns0:v>
      </ns0:c>
      <ns0:c r="M51" s="48">
        <ns0:v>6</ns0:v>
      </ns0:c>
      <ns0:c r="N51" s="123">
        <ns0:f t="shared" si="29"/>
        <ns0:v>0</ns0:v>
      </ns0:c>
      <ns0:c r="O51" s="48">
        <ns0:v>0</ns0:v>
      </ns0:c>
      <ns0:c r="P51" s="123">
        <ns0:f t="shared" si="30"/>
        <ns0:v>0</ns0:v>
      </ns0:c>
      <ns0:c r="Q51" s="124">
        <ns0:f t="shared" si="31"/>
        <ns0:v>0</ns0:v>
      </ns0:c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</ns0:row>
    <ns0:row r="52" ht="12.75" customHeight="1">
      <ns0:c r="A52" s="1">
        <ns0:f t="shared" si="32"/>
        <ns0:v>6</ns0:v>
      </ns0:c>
      <ns0:c r="B52" s="125" t="s">
        <ns0:v>48</ns0:v>
      </ns0:c>
      <ns0:c r="C52" s="99">
        <ns0:v>20.0</ns0:v>
      </ns0:c>
      <ns0:c r="D52" s="121">
        <ns0:f t="shared" si="24"/>
        <ns0:v>0</ns0:v>
      </ns0:c>
      <ns0:c r="E52" s="37">
        <ns0:f t="shared" si="25"/>
        <ns0:v>0</ns0:v>
      </ns0:c>
      <ns0:c r="F52" s="36">
        <ns0:f t="shared" si="26"/>
        <ns0:v>0</ns0:v>
      </ns0:c>
      <ns0:c r="G52" s="122">
        <ns0:v>262</ns0:v>
      </ns0:c>
      <ns0:c r="H52" s="37">
        <ns0:v>262</ns0:v>
      </ns0:c>
      <ns0:c r="I52" s="37">
        <ns0:v>0</ns0:v>
      </ns0:c>
      <ns0:c r="J52" s="37">
        <ns0:v>0</ns0:v>
      </ns0:c>
      <ns0:c r="K52" s="48">
        <ns0:v>40</ns0:v>
      </ns0:c>
      <ns0:c r="L52" s="123">
        <ns0:f t="shared" si="28"/>
        <ns0:v>0</ns0:v>
      </ns0:c>
      <ns0:c r="M52" s="48">
        <ns0:v>0</ns0:v>
      </ns0:c>
      <ns0:c r="N52" s="123">
        <ns0:f t="shared" si="29"/>
        <ns0:v>0</ns0:v>
      </ns0:c>
      <ns0:c r="O52" s="48">
        <ns0:v>0</ns0:v>
      </ns0:c>
      <ns0:c r="P52" s="123">
        <ns0:f t="shared" si="30"/>
        <ns0:v>0</ns0:v>
      </ns0:c>
      <ns0:c r="Q52" s="124">
        <ns0:f t="shared" si="31"/>
        <ns0:v>0</ns0:v>
      </ns0:c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</ns0:row>
    <ns0:row r="53" ht="12.75" customHeight="1">
      <ns0:c r="A53" s="1">
        <ns0:f t="shared" si="32"/>
        <ns0:v>7</ns0:v>
      </ns0:c>
      <ns0:c r="B53" s="125" t="s">
        <ns0:v>49</ns0:v>
      </ns0:c>
      <ns0:c r="C53" s="99">
        <ns0:v>17.0</ns0:v>
      </ns0:c>
      <ns0:c r="D53" s="121">
        <ns0:f t="shared" si="24"/>
        <ns0:v>0</ns0:v>
      </ns0:c>
      <ns0:c r="E53" s="37">
        <ns0:f t="shared" si="25"/>
        <ns0:v>0</ns0:v>
      </ns0:c>
      <ns0:c r="F53" s="36">
        <ns0:f t="shared" si="26"/>
        <ns0:v>0</ns0:v>
      </ns0:c>
      <ns0:c r="G53" s="122">
        <ns0:v>0</ns0:v>
      </ns0:c>
      <ns0:c r="H53" s="37">
        <ns0:v>0</ns0:v>
      </ns0:c>
      <ns0:c r="I53" s="37">
        <ns0:v>0</ns0:v>
      </ns0:c>
      <ns0:c r="J53" s="37">
        <ns0:v>0</ns0:v>
      </ns0:c>
      <ns0:c r="K53" s="48">
        <ns0:v>17.75</ns0:v>
      </ns0:c>
      <ns0:c r="L53" s="123">
        <ns0:f t="shared" si="28"/>
        <ns0:v>0</ns0:v>
      </ns0:c>
      <ns0:c r="M53" s="48">
        <ns0:v>0</ns0:v>
      </ns0:c>
      <ns0:c r="N53" s="123">
        <ns0:f t="shared" si="29"/>
        <ns0:v>0</ns0:v>
      </ns0:c>
      <ns0:c r="O53" s="48">
        <ns0:v>0</ns0:v>
      </ns0:c>
      <ns0:c r="P53" s="123">
        <ns0:f t="shared" si="30"/>
        <ns0:v>0</ns0:v>
      </ns0:c>
      <ns0:c r="Q53" s="124">
        <ns0:f t="shared" si="31"/>
        <ns0:v>0</ns0:v>
      </ns0:c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</ns0:row>
    <ns0:row r="54" ht="12.75" customHeight="1">
      <ns0:c r="A54" s="1">
        <ns0:f t="shared" si="32"/>
        <ns0:v>8</ns0:v>
      </ns0:c>
      <ns0:c r="B54" s="125" t="s">
        <ns0:v>50</ns0:v>
      </ns0:c>
      <ns0:c r="C54" s="99">
        <ns0:v>17.0</ns0:v>
      </ns0:c>
      <ns0:c r="D54" s="121">
        <ns0:f t="shared" si="24"/>
        <ns0:v>0</ns0:v>
      </ns0:c>
      <ns0:c r="E54" s="37">
        <ns0:f t="shared" si="25"/>
        <ns0:v>0</ns0:v>
      </ns0:c>
      <ns0:c r="F54" s="36">
        <ns0:f t="shared" si="26"/>
        <ns0:v>0</ns0:v>
      </ns0:c>
      <ns0:c r="G54" s="122">
        <ns0:v>0</ns0:v>
      </ns0:c>
      <ns0:c r="H54" s="37">
        <ns0:v>0</ns0:v>
      </ns0:c>
      <ns0:c r="I54" s="37">
        <ns0:v>0</ns0:v>
      </ns0:c>
      <ns0:c r="J54" s="37">
        <ns0:v>0</ns0:v>
      </ns0:c>
      <ns0:c r="K54" s="48">
        <ns0:v>0</ns0:v>
      </ns0:c>
      <ns0:c r="L54" s="123">
        <ns0:f t="shared" si="28"/>
        <ns0:v>0</ns0:v>
      </ns0:c>
      <ns0:c r="M54" s="48">
        <ns0:v>0</ns0:v>
      </ns0:c>
      <ns0:c r="N54" s="123">
        <ns0:f t="shared" si="29"/>
        <ns0:v>0</ns0:v>
      </ns0:c>
      <ns0:c r="O54" s="48">
        <ns0:v>0</ns0:v>
      </ns0:c>
      <ns0:c r="P54" s="123">
        <ns0:f t="shared" si="30"/>
        <ns0:v>0</ns0:v>
      </ns0:c>
      <ns0:c r="Q54" s="124">
        <ns0:f t="shared" si="31"/>
        <ns0:v>0</ns0:v>
      </ns0:c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</ns0:row>
    <ns0:row r="55" ht="12.75" customHeight="1">
      <ns0:c r="A55" s="1">
        <ns0:f t="shared" si="32"/>
        <ns0:v>9</ns0:v>
      </ns0:c>
      <ns0:c r="B55" s="120" t="s">
        <ns0:v>51</ns0:v>
      </ns0:c>
      <ns0:c r="C55" s="99">
        <ns0:v>17.0</ns0:v>
      </ns0:c>
      <ns0:c r="D55" s="121">
        <ns0:f t="shared" si="24"/>
        <ns0:v>0</ns0:v>
      </ns0:c>
      <ns0:c r="E55" s="37">
        <ns0:f t="shared" si="25"/>
        <ns0:v>0</ns0:v>
      </ns0:c>
      <ns0:c r="F55" s="100">
        <ns0:f t="shared" si="26"/>
        <ns0:v>0</ns0:v>
      </ns0:c>
      <ns0:c r="G55" s="126">
        <ns0:v>0</ns0:v>
      </ns0:c>
      <ns0:c r="H55" s="37">
        <ns0:v>0</ns0:v>
      </ns0:c>
      <ns0:c r="I55" s="37">
        <ns0:v>0</ns0:v>
      </ns0:c>
      <ns0:c r="J55" s="37">
        <ns0:v>0</ns0:v>
      </ns0:c>
      <ns0:c r="K55" s="48">
        <ns0:v>25.25</ns0:v>
      </ns0:c>
      <ns0:c r="L55" s="123">
        <ns0:f t="shared" si="28"/>
        <ns0:v>0</ns0:v>
      </ns0:c>
      <ns0:c r="M55" s="48">
        <ns0:v>0</ns0:v>
      </ns0:c>
      <ns0:c r="N55" s="123">
        <ns0:f t="shared" si="29"/>
        <ns0:v>0</ns0:v>
      </ns0:c>
      <ns0:c r="O55" s="48">
        <ns0:v>0</ns0:v>
      </ns0:c>
      <ns0:c r="P55" s="123">
        <ns0:f t="shared" si="30"/>
        <ns0:v>0</ns0:v>
      </ns0:c>
      <ns0:c r="Q55" s="124">
        <ns0:f t="shared" si="31"/>
        <ns0:v>0</ns0:v>
      </ns0:c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</ns0:row>
    <ns0:row r="56" ht="12.75" customHeight="1">
      <ns0:c r="A56" s="1">
        <ns0:f t="shared" si="32"/>
        <ns0:v>10</ns0:v>
      </ns0:c>
      <ns0:c r="B56" s="125" t="s">
        <ns0:v>52</ns0:v>
      </ns0:c>
      <ns0:c r="C56" s="99">
        <ns0:v>17.0</ns0:v>
      </ns0:c>
      <ns0:c r="D56" s="121">
        <ns0:f t="shared" si="24"/>
        <ns0:v>0</ns0:v>
      </ns0:c>
      <ns0:c r="E56" s="37">
        <ns0:f t="shared" si="25"/>
        <ns0:v>0</ns0:v>
      </ns0:c>
      <ns0:c r="F56" s="100">
        <ns0:f t="shared" si="26"/>
        <ns0:v>0</ns0:v>
      </ns0:c>
      <ns0:c r="G56" s="126">
        <ns0:v>0</ns0:v>
      </ns0:c>
      <ns0:c r="H56" s="50">
        <ns0:v>0</ns0:v>
      </ns0:c>
      <ns0:c r="I56" s="50">
        <ns0:v>0</ns0:v>
      </ns0:c>
      <ns0:c r="J56" s="50">
        <ns0:v>0</ns0:v>
      </ns0:c>
      <ns0:c r="K56" s="48">
        <ns0:v>0</ns0:v>
      </ns0:c>
      <ns0:c r="L56" s="123">
        <ns0:f t="shared" si="28"/>
        <ns0:v>0</ns0:v>
      </ns0:c>
      <ns0:c r="M56" s="48">
        <ns0:v>0</ns0:v>
      </ns0:c>
      <ns0:c r="N56" s="123">
        <ns0:f t="shared" si="29"/>
        <ns0:v>0</ns0:v>
      </ns0:c>
      <ns0:c r="O56" s="48">
        <ns0:v>0</ns0:v>
      </ns0:c>
      <ns0:c r="P56" s="123">
        <ns0:f t="shared" si="30"/>
        <ns0:v>0</ns0:v>
      </ns0:c>
      <ns0:c r="Q56" s="127">
        <ns0:f t="shared" si="31"/>
        <ns0:v>0</ns0:v>
      </ns0:c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</ns0:row>
    <ns0:row r="57" ht="12.75" customHeight="1">
      <ns0:c r="A57" s="16"/>
      <ns0:c r="B57" s="128" t="s">
        <ns0:v>2</ns0:v>
      </ns0:c>
      <ns0:c r="C57" s="129"/>
      <ns0:c r="D57" s="130">
        <ns0:f t="shared" ref="D57:K57" si="33">SUM(D47:D56)</ns0:f>
        <ns0:v>0</ns0:v>
      </ns0:c>
      <ns0:c r="E57" s="67">
        <ns0:f t="shared" si="33"/>
        <ns0:v>0</ns0:v>
      </ns0:c>
      <ns0:c r="F57" s="102">
        <ns0:f t="shared" si="33"/>
        <ns0:v>0</ns0:v>
      </ns0:c>
      <ns0:c r="G57" s="103">
        <ns0:f t="shared" si="33"/>
        <ns0:v>0</ns0:v>
      </ns0:c>
      <ns0:c r="H57" s="102">
        <ns0:f t="shared" si="33"/>
        <ns0:v>0</ns0:v>
      </ns0:c>
      <ns0:c r="I57" s="102">
        <ns0:f t="shared" si="33"/>
        <ns0:v>0</ns0:v>
      </ns0:c>
      <ns0:c r="J57" s="102">
        <ns0:f t="shared" si="33"/>
        <ns0:v>0</ns0:v>
      </ns0:c>
      <ns0:c r="K57" s="104">
        <ns0:f t="shared" si="33"/>
        <ns0:v>0</ns0:v>
      </ns0:c>
      <ns0:c r="L57" s="131">
        <ns0:f t="shared" si="28"/>
        <ns0:v>0</ns0:v>
      </ns0:c>
      <ns0:c r="M57" s="104">
        <ns0:f>SUM(M47:M56)</ns0:f>
        <ns0:v>0</ns0:v>
      </ns0:c>
      <ns0:c r="N57" s="131">
        <ns0:f t="shared" si="29"/>
        <ns0:v>0</ns0:v>
      </ns0:c>
      <ns0:c r="O57" s="104">
        <ns0:f>SUM(O47:O56)</ns0:f>
        <ns0:v>0</ns0:v>
      </ns0:c>
      <ns0:c r="P57" s="131">
        <ns0:f t="shared" si="30"/>
        <ns0:v>0</ns0:v>
      </ns0:c>
      <ns0:c r="Q57" s="72">
        <ns0:f>SUM(Q47:Q56)</ns0:f>
        <ns0:v>0</ns0:v>
      </ns0:c>
      <ns0:c r="R57" s="22"/>
      <ns0:c r="S57" s="22"/>
      <ns0:c r="T57" s="22"/>
      <ns0:c r="U57" s="22"/>
      <ns0:c r="V57" s="22"/>
      <ns0:c r="W57" s="22"/>
      <ns0:c r="X57" s="22"/>
      <ns0:c r="Y57" s="22"/>
      <ns0:c r="Z57" s="22"/>
      <ns0:c r="AA57" s="22"/>
      <ns0:c r="AB57" s="22"/>
      <ns0:c r="AC57" s="22"/>
    </ns0:row>
    <ns0:row r="58" ht="12.75" customHeight="1">
      <ns0:c r="A58" s="1"/>
      <ns0:c r="B58" s="74" t="s">
        <ns0:v>34</ns0:v>
      </ns0:c>
      <ns0:c r="C58" s="2"/>
      <ns0:c r="D58" s="75"/>
      <ns0:c r="E58" s="77"/>
      <ns0:c r="F58" s="77"/>
      <ns0:c r="G58" s="132"/>
      <ns0:c r="H58" s="77"/>
      <ns0:c r="I58" s="77"/>
      <ns0:c r="J58" s="77"/>
      <ns0:c r="K58" s="76"/>
      <ns0:c r="L58" s="76"/>
      <ns0:c r="M58" s="76"/>
      <ns0:c r="N58" s="76"/>
      <ns0:c r="O58" s="76"/>
      <ns0:c r="P58" s="76"/>
      <ns0:c r="Q58" s="76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</ns0:row>
    <ns0:row r="59" ht="12.75" customHeight="1">
      <ns0:c r="A59" s="1"/>
      <ns0:c r="B59" s="6" t="s">
        <ns0:v>35</ns0:v>
      </ns0:c>
      <ns0:c r="C59" s="2"/>
      <ns0:c r="D59" s="75"/>
      <ns0:c r="E59" s="77">
        <ns0:f>E57+G57</ns0:f>
        <ns0:v>0</ns0:v>
      </ns0:c>
      <ns0:c r="F59" s="77"/>
      <ns0:c r="G59" s="78">
        <ns0:f>SUM(H59:J59)/1.18</ns0:f>
        <ns0:v>0</ns0:v>
      </ns0:c>
      <ns0:c r="H59" s="79">
        <ns0:f t="shared" ref="H59:J59" si="34">H57*1.18</ns0:f>
        <ns0:v>0</ns0:v>
      </ns0:c>
      <ns0:c r="I59" s="79">
        <ns0:f t="shared" si="34"/>
        <ns0:v>0</ns0:v>
      </ns0:c>
      <ns0:c r="J59" s="79">
        <ns0:f t="shared" si="34"/>
        <ns0:v>0</ns0:v>
      </ns0:c>
      <ns0:c r="K59" s="109">
        <ns0:f>SUMPRODUCT(E47:E56,L47:L56)*1.18</ns0:f>
        <ns0:v>0</ns0:v>
      </ns0:c>
      <ns0:c r="L59" s="110"/>
      <ns0:c r="M59" s="109">
        <ns0:f>SUMPRODUCT(E47:E56,N47:N56)*1.18</ns0:f>
        <ns0:v>0</ns0:v>
      </ns0:c>
      <ns0:c r="N59" s="110"/>
      <ns0:c r="O59" s="109">
        <ns0:f>SUMPRODUCT(E47:E56,P47:P56)*1.18</ns0:f>
        <ns0:v>0</ns0:v>
      </ns0:c>
      <ns0:c r="P59" s="110"/>
      <ns0:c r="Q59" s="111">
        <ns0:f>(K59+M59+O59)/1.18</ns0:f>
        <ns0:v>0</ns0:v>
      </ns0:c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</ns0:row>
    <ns0:row r="60" ht="12.75" customHeight="1">
      <ns0:c r="A60" s="1"/>
      <ns0:c r="B60" s="86"/>
      <ns0:c r="C60" s="2"/>
      <ns0:c r="D60" s="75"/>
      <ns0:c r="E60" s="77">
        <ns0:f>G59+Q59</ns0:f>
        <ns0:v>0</ns0:v>
      </ns0:c>
      <ns0:c r="F60" s="77"/>
      <ns0:c r="G60" s="132"/>
      <ns0:c r="H60" s="77"/>
      <ns0:c r="I60" s="77"/>
      <ns0:c r="J60" s="77"/>
      <ns0:c r="K60" s="85"/>
      <ns0:c r="L60" s="85"/>
      <ns0:c r="M60" s="85"/>
      <ns0:c r="N60" s="85"/>
      <ns0:c r="O60" s="85"/>
      <ns0:c r="P60" s="85"/>
      <ns0:c r="Q60" s="85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</ns0:row>
    <ns0:row r="61" ht="12.75" customHeight="1">
      <ns0:c r="A61" s="1"/>
      <ns0:c r="B61" s="86"/>
      <ns0:c r="C61" s="2"/>
      <ns0:c r="D61" s="75"/>
      <ns0:c r="E61" s="77"/>
      <ns0:c r="F61" s="77"/>
      <ns0:c r="G61" s="132"/>
      <ns0:c r="H61" s="77"/>
      <ns0:c r="I61" s="77"/>
      <ns0:c r="J61" s="77"/>
      <ns0:c r="K61" s="85"/>
      <ns0:c r="L61" s="85"/>
      <ns0:c r="M61" s="85"/>
      <ns0:c r="N61" s="85"/>
      <ns0:c r="O61" s="85"/>
      <ns0:c r="P61" s="85"/>
      <ns0:c r="Q61" s="85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</ns0:row>
    <ns0:row r="62" ht="12.75" customHeight="1">
      <ns0:c r="A62" s="1"/>
      <ns0:c r="B62" s="2"/>
      <ns0:c r="C62" s="2"/>
      <ns0:c r="D62" s="75"/>
      <ns0:c r="E62" s="77"/>
      <ns0:c r="F62" s="77"/>
      <ns0:c r="G62" s="132"/>
      <ns0:c r="H62" s="77"/>
      <ns0:c r="I62" s="77"/>
      <ns0:c r="J62" s="77"/>
      <ns0:c r="K62" s="133"/>
      <ns0:c r="L62" s="133"/>
      <ns0:c r="M62" s="133"/>
      <ns0:c r="N62" s="133"/>
      <ns0:c r="O62" s="133"/>
      <ns0:c r="P62" s="133"/>
      <ns0:c r="Q62" s="107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</ns0:row>
    <ns0:row r="63" ht="12.75" customHeight="1">
      <ns0:c r="A63" s="16"/>
      <ns0:c r="B63" s="134" t="s">
        <ns0:v>53</ns0:v>
      </ns0:c>
      <ns0:c r="C63" s="135"/>
      <ns0:c r="D63" s="136"/>
      <ns0:c r="E63" s="135"/>
      <ns0:c r="F63" s="135"/>
      <ns0:c r="G63" s="137"/>
      <ns0:c r="H63" s="135"/>
      <ns0:c r="I63" s="135"/>
      <ns0:c r="J63" s="135"/>
      <ns0:c r="K63" s="138"/>
      <ns0:c r="L63" s="138"/>
      <ns0:c r="M63" s="138"/>
      <ns0:c r="N63" s="138"/>
      <ns0:c r="O63" s="138"/>
      <ns0:c r="P63" s="138"/>
      <ns0:c r="Q63" s="139"/>
      <ns0:c r="R63" s="22"/>
      <ns0:c r="S63" s="22"/>
      <ns0:c r="T63" s="22"/>
      <ns0:c r="U63" s="22"/>
      <ns0:c r="V63" s="22"/>
      <ns0:c r="W63" s="22"/>
      <ns0:c r="X63" s="22"/>
      <ns0:c r="Y63" s="22"/>
      <ns0:c r="Z63" s="22"/>
      <ns0:c r="AA63" s="22"/>
      <ns0:c r="AB63" s="22"/>
      <ns0:c r="AC63" s="22"/>
    </ns0:row>
    <ns0:row r="64" ht="12.75" hidden="1" customHeight="1">
      <ns0:c r="A64" s="1"/>
      <ns0:c r="B64" s="140"/>
      <ns0:c r="C64" s="141"/>
      <ns0:c r="D64" s="35">
        <ns0:f t="shared" ref="D64:D75" si="35">Q64</ns0:f>
        <ns0:v>0</ns0:v>
      </ns0:c>
      <ns0:c r="E64" s="37">
        <ns0:f t="shared" ref="E64:E85" si="36">IF(D64&gt;40,(D64-40)*(C64*1.5)+(C64*40),D64*C64)</ns0:f>
        <ns0:v>0</ns0:v>
      </ns0:c>
      <ns0:c r="F64" s="37">
        <ns0:f t="shared" ref="F64:F75" si="37">IF(D64&gt;40,(D64-40)*(C64*0.5),0)</ns0:f>
        <ns0:v>0</ns0:v>
      </ns0:c>
      <ns0:c r="G64" s="38">
        <ns0:f t="shared" ref="G64:G75" si="38">SUM(H64:J64)</ns0:f>
        <ns0:v>0</ns0:v>
      </ns0:c>
      <ns0:c r="H64" s="37"/>
      <ns0:c r="I64" s="37"/>
      <ns0:c r="J64" s="37"/>
      <ns0:c r="K64" s="42"/>
      <ns0:c r="L64" s="40">
        <ns0:f t="shared" ref="L64:L86" si="39">IFERROR(K64/Q64,0)</ns0:f>
        <ns0:v>0</ns0:v>
      </ns0:c>
      <ns0:c r="M64" s="42"/>
      <ns0:c r="N64" s="40">
        <ns0:f t="shared" ref="N64:N86" si="40">IFERROR(M64/Q64,0)</ns0:f>
        <ns0:v>0</ns0:v>
      </ns0:c>
      <ns0:c r="O64" s="42"/>
      <ns0:c r="P64" s="40">
        <ns0:f t="shared" ref="P64:P86" si="41">IFERROR(O64/Q64,0)</ns0:f>
        <ns0:v>0</ns0:v>
      </ns0:c>
      <ns0:c r="Q64" s="43">
        <ns0:f t="shared" ref="Q64:Q75" si="42">O64+M64+K64</ns0:f>
        <ns0:v>0</ns0:v>
      </ns0:c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</ns0:row>
    <ns0:row r="65" ht="12.75" customHeight="1">
      <ns0:c r="A65" s="1">
        <ns0:f t="shared" ref="A65:A72" si="43">1+A64</ns0:f>
        <ns0:v>1</ns0:v>
      </ns0:c>
      <ns0:c r="B65" s="140" t="s">
        <ns0:v>54</ns0:v>
      </ns0:c>
      <ns0:c r="C65" s="141">
        <ns0:v>17.0</ns0:v>
      </ns0:c>
      <ns0:c r="D65" s="35">
        <ns0:f t="shared" si="35"/>
        <ns0:v>0</ns0:v>
      </ns0:c>
      <ns0:c r="E65" s="37">
        <ns0:f t="shared" si="36"/>
        <ns0:v>0</ns0:v>
      </ns0:c>
      <ns0:c r="F65" s="37">
        <ns0:f t="shared" si="37"/>
        <ns0:v>0</ns0:v>
      </ns0:c>
      <ns0:c r="G65" s="38">
        <ns0:v>0</ns0:v>
      </ns0:c>
      <ns0:c r="H65" s="37">
        <ns0:v>0</ns0:v>
      </ns0:c>
      <ns0:c r="I65" s="142">
        <ns0:v>0</ns0:v>
      </ns0:c>
      <ns0:c r="J65" s="142">
        <ns0:v>0</ns0:v>
      </ns0:c>
      <ns0:c r="K65" s="42">
        <ns0:v>11</ns0:v>
      </ns0:c>
      <ns0:c r="L65" s="40">
        <ns0:f t="shared" si="39"/>
        <ns0:v>0</ns0:v>
      </ns0:c>
      <ns0:c r="M65" s="42">
        <ns0:v>12</ns0:v>
      </ns0:c>
      <ns0:c r="N65" s="40">
        <ns0:f t="shared" si="40"/>
        <ns0:v>0</ns0:v>
      </ns0:c>
      <ns0:c r="O65" s="42">
        <ns0:v>0</ns0:v>
      </ns0:c>
      <ns0:c r="P65" s="40">
        <ns0:f t="shared" si="41"/>
        <ns0:v>0</ns0:v>
      </ns0:c>
      <ns0:c r="Q65" s="43">
        <ns0:f t="shared" si="42"/>
        <ns0:v>0</ns0:v>
      </ns0:c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</ns0:row>
    <ns0:row r="66" ht="12.75" customHeight="1">
      <ns0:c r="A66" s="1">
        <ns0:f t="shared" si="43"/>
        <ns0:v>2</ns0:v>
      </ns0:c>
      <ns0:c r="B66" s="143" t="s">
        <ns0:v>55</ns0:v>
      </ns0:c>
      <ns0:c r="C66" s="144">
        <ns0:v>21.0</ns0:v>
      </ns0:c>
      <ns0:c r="D66" s="35">
        <ns0:f t="shared" si="35"/>
        <ns0:v>0</ns0:v>
      </ns0:c>
      <ns0:c r="E66" s="37">
        <ns0:f t="shared" si="36"/>
        <ns0:v>0</ns0:v>
      </ns0:c>
      <ns0:c r="F66" s="37">
        <ns0:f t="shared" si="37"/>
        <ns0:v>0</ns0:v>
      </ns0:c>
      <ns0:c r="G66" s="38">
        <ns0:v>115</ns0:v>
      </ns0:c>
      <ns0:c r="H66" s="37">
        <ns0:v>0</ns0:v>
      </ns0:c>
      <ns0:c r="I66" s="145">
        <ns0:v>0</ns0:v>
      </ns0:c>
      <ns0:c r="J66" s="145">
        <ns0:v>115</ns0:v>
      </ns0:c>
      <ns0:c r="K66" s="42">
        <ns0:v>0</ns0:v>
      </ns0:c>
      <ns0:c r="L66" s="40">
        <ns0:f t="shared" si="39"/>
        <ns0:v>0</ns0:v>
      </ns0:c>
      <ns0:c r="M66" s="42">
        <ns0:v>0</ns0:v>
      </ns0:c>
      <ns0:c r="N66" s="40">
        <ns0:f t="shared" si="40"/>
        <ns0:v>0</ns0:v>
      </ns0:c>
      <ns0:c r="O66" s="42">
        <ns0:v>26.5</ns0:v>
      </ns0:c>
      <ns0:c r="P66" s="40">
        <ns0:f t="shared" si="41"/>
        <ns0:v>0</ns0:v>
      </ns0:c>
      <ns0:c r="Q66" s="43">
        <ns0:f t="shared" si="42"/>
        <ns0:v>0</ns0:v>
      </ns0:c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</ns0:row>
    <ns0:row r="67" ht="12.75" customHeight="1">
      <ns0:c r="A67" s="1">
        <ns0:f t="shared" si="43"/>
        <ns0:v>3</ns0:v>
      </ns0:c>
      <ns0:c r="B67" s="146" t="s">
        <ns0:v>56</ns0:v>
      </ns0:c>
      <ns0:c r="C67" s="144">
        <ns0:v>17.0</ns0:v>
      </ns0:c>
      <ns0:c r="D67" s="35">
        <ns0:f t="shared" si="35"/>
        <ns0:v>0</ns0:v>
      </ns0:c>
      <ns0:c r="E67" s="37">
        <ns0:f t="shared" si="36"/>
        <ns0:v>0</ns0:v>
      </ns0:c>
      <ns0:c r="F67" s="37">
        <ns0:f t="shared" si="37"/>
        <ns0:v>0</ns0:v>
      </ns0:c>
      <ns0:c r="G67" s="38">
        <ns0:v>0</ns0:v>
      </ns0:c>
      <ns0:c r="H67" s="50">
        <ns0:v>0</ns0:v>
      </ns0:c>
      <ns0:c r="I67" s="142">
        <ns0:v>0</ns0:v>
      </ns0:c>
      <ns0:c r="J67" s="142">
        <ns0:v>0</ns0:v>
      </ns0:c>
      <ns0:c r="K67" s="53">
        <ns0:v>0</ns0:v>
      </ns0:c>
      <ns0:c r="L67" s="147">
        <ns0:f t="shared" si="39"/>
        <ns0:v>0</ns0:v>
      </ns0:c>
      <ns0:c r="M67" s="53">
        <ns0:v>0</ns0:v>
      </ns0:c>
      <ns0:c r="N67" s="147">
        <ns0:f t="shared" si="40"/>
        <ns0:v>0</ns0:v>
      </ns0:c>
      <ns0:c r="O67" s="53">
        <ns0:v>10.5</ns0:v>
      </ns0:c>
      <ns0:c r="P67" s="147">
        <ns0:f t="shared" si="41"/>
        <ns0:v>0</ns0:v>
      </ns0:c>
      <ns0:c r="Q67" s="43">
        <ns0:f t="shared" si="42"/>
        <ns0:v>0</ns0:v>
      </ns0:c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</ns0:row>
    <ns0:row r="68" ht="12.75" customHeight="1">
      <ns0:c r="A68" s="1">
        <ns0:f t="shared" si="43"/>
        <ns0:v>4</ns0:v>
      </ns0:c>
      <ns0:c r="B68" s="146" t="s">
        <ns0:v>57</ns0:v>
      </ns0:c>
      <ns0:c r="C68" s="144">
        <ns0:v>19.0</ns0:v>
      </ns0:c>
      <ns0:c r="D68" s="35">
        <ns0:f t="shared" si="35"/>
        <ns0:v>0</ns0:v>
      </ns0:c>
      <ns0:c r="E68" s="37">
        <ns0:f t="shared" si="36"/>
        <ns0:v>0</ns0:v>
      </ns0:c>
      <ns0:c r="F68" s="37">
        <ns0:f t="shared" si="37"/>
        <ns0:v>0</ns0:v>
      </ns0:c>
      <ns0:c r="G68" s="38">
        <ns0:v>0</ns0:v>
      </ns0:c>
      <ns0:c r="H68" s="50">
        <ns0:v>0</ns0:v>
      </ns0:c>
      <ns0:c r="I68" s="148">
        <ns0:v>0</ns0:v>
      </ns0:c>
      <ns0:c r="J68" s="148">
        <ns0:v>0</ns0:v>
      </ns0:c>
      <ns0:c r="K68" s="53">
        <ns0:v>0</ns0:v>
      </ns0:c>
      <ns0:c r="L68" s="147">
        <ns0:f t="shared" si="39"/>
        <ns0:v>0</ns0:v>
      </ns0:c>
      <ns0:c r="M68" s="53">
        <ns0:v>0</ns0:v>
      </ns0:c>
      <ns0:c r="N68" s="147">
        <ns0:f t="shared" si="40"/>
        <ns0:v>0</ns0:v>
      </ns0:c>
      <ns0:c r="O68" s="53">
        <ns0:v>0</ns0:v>
      </ns0:c>
      <ns0:c r="P68" s="147">
        <ns0:f t="shared" si="41"/>
        <ns0:v>0</ns0:v>
      </ns0:c>
      <ns0:c r="Q68" s="43">
        <ns0:f t="shared" si="42"/>
        <ns0:v>0</ns0:v>
      </ns0:c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</ns0:row>
    <ns0:row r="69" ht="12.75" customHeight="1">
      <ns0:c r="A69" s="1">
        <ns0:f t="shared" si="43"/>
        <ns0:v>5</ns0:v>
      </ns0:c>
      <ns0:c r="B69" s="140" t="s">
        <ns0:v>58</ns0:v>
      </ns0:c>
      <ns0:c r="C69" s="141">
        <ns0:v>18.0</ns0:v>
      </ns0:c>
      <ns0:c r="D69" s="35">
        <ns0:f t="shared" si="35"/>
        <ns0:v>0</ns0:v>
      </ns0:c>
      <ns0:c r="E69" s="37">
        <ns0:f t="shared" si="36"/>
        <ns0:v>0</ns0:v>
      </ns0:c>
      <ns0:c r="F69" s="37">
        <ns0:f t="shared" si="37"/>
        <ns0:v>0</ns0:v>
      </ns0:c>
      <ns0:c r="G69" s="38">
        <ns0:v>0</ns0:v>
      </ns0:c>
      <ns0:c r="H69" s="50">
        <ns0:v>0</ns0:v>
      </ns0:c>
      <ns0:c r="I69" s="148">
        <ns0:v>0</ns0:v>
      </ns0:c>
      <ns0:c r="J69" s="148">
        <ns0:v>0</ns0:v>
      </ns0:c>
      <ns0:c r="K69" s="53">
        <ns0:v>0</ns0:v>
      </ns0:c>
      <ns0:c r="L69" s="147">
        <ns0:f t="shared" si="39"/>
        <ns0:v>0</ns0:v>
      </ns0:c>
      <ns0:c r="M69" s="53">
        <ns0:v>0</ns0:v>
      </ns0:c>
      <ns0:c r="N69" s="147">
        <ns0:f t="shared" si="40"/>
        <ns0:v>0</ns0:v>
      </ns0:c>
      <ns0:c r="O69" s="53">
        <ns0:v>25.5</ns0:v>
      </ns0:c>
      <ns0:c r="P69" s="147">
        <ns0:f t="shared" si="41"/>
        <ns0:v>0</ns0:v>
      </ns0:c>
      <ns0:c r="Q69" s="43">
        <ns0:f t="shared" si="42"/>
        <ns0:v>0</ns0:v>
      </ns0:c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</ns0:row>
    <ns0:row r="70" ht="12.75" customHeight="1">
      <ns0:c r="A70" s="1">
        <ns0:f t="shared" si="43"/>
        <ns0:v>6</ns0:v>
      </ns0:c>
      <ns0:c r="B70" s="140" t="s">
        <ns0:v>59</ns0:v>
      </ns0:c>
      <ns0:c r="C70" s="141">
        <ns0:v>17.0</ns0:v>
      </ns0:c>
      <ns0:c r="D70" s="35">
        <ns0:f t="shared" si="35"/>
        <ns0:v>0</ns0:v>
      </ns0:c>
      <ns0:c r="E70" s="37">
        <ns0:f t="shared" si="36"/>
        <ns0:v>0</ns0:v>
      </ns0:c>
      <ns0:c r="F70" s="37">
        <ns0:f t="shared" si="37"/>
        <ns0:v>0</ns0:v>
      </ns0:c>
      <ns0:c r="G70" s="38">
        <ns0:v>0</ns0:v>
      </ns0:c>
      <ns0:c r="H70" s="50">
        <ns0:v>0</ns0:v>
      </ns0:c>
      <ns0:c r="I70" s="148">
        <ns0:v>0</ns0:v>
      </ns0:c>
      <ns0:c r="J70" s="148">
        <ns0:v>0</ns0:v>
      </ns0:c>
      <ns0:c r="K70" s="53">
        <ns0:v>18</ns0:v>
      </ns0:c>
      <ns0:c r="L70" s="147">
        <ns0:f t="shared" si="39"/>
        <ns0:v>0</ns0:v>
      </ns0:c>
      <ns0:c r="M70" s="53">
        <ns0:v>0</ns0:v>
      </ns0:c>
      <ns0:c r="N70" s="147">
        <ns0:f t="shared" si="40"/>
        <ns0:v>0</ns0:v>
      </ns0:c>
      <ns0:c r="O70" s="53">
        <ns0:v>4</ns0:v>
      </ns0:c>
      <ns0:c r="P70" s="147">
        <ns0:f t="shared" si="41"/>
        <ns0:v>0</ns0:v>
      </ns0:c>
      <ns0:c r="Q70" s="43">
        <ns0:f t="shared" si="42"/>
        <ns0:v>0</ns0:v>
      </ns0:c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</ns0:row>
    <ns0:row r="71" ht="12.75" customHeight="1">
      <ns0:c r="A71" s="1">
        <ns0:f t="shared" si="43"/>
        <ns0:v>7</ns0:v>
      </ns0:c>
      <ns0:c r="B71" s="143" t="s">
        <ns0:v>60</ns0:v>
      </ns0:c>
      <ns0:c r="C71" s="141">
        <ns0:v>20.0</ns0:v>
      </ns0:c>
      <ns0:c r="D71" s="35">
        <ns0:f t="shared" si="35"/>
        <ns0:v>0</ns0:v>
      </ns0:c>
      <ns0:c r="E71" s="37">
        <ns0:f t="shared" si="36"/>
        <ns0:v>0</ns0:v>
      </ns0:c>
      <ns0:c r="F71" s="37">
        <ns0:f t="shared" si="37"/>
        <ns0:v>0</ns0:v>
      </ns0:c>
      <ns0:c r="G71" s="38">
        <ns0:v>0</ns0:v>
      </ns0:c>
      <ns0:c r="H71" s="50">
        <ns0:v>0</ns0:v>
      </ns0:c>
      <ns0:c r="I71" s="148">
        <ns0:v>0</ns0:v>
      </ns0:c>
      <ns0:c r="J71" s="148">
        <ns0:v>0</ns0:v>
      </ns0:c>
      <ns0:c r="K71" s="53">
        <ns0:v>0</ns0:v>
      </ns0:c>
      <ns0:c r="L71" s="147">
        <ns0:f t="shared" si="39"/>
        <ns0:v>0</ns0:v>
      </ns0:c>
      <ns0:c r="M71" s="53">
        <ns0:v>0</ns0:v>
      </ns0:c>
      <ns0:c r="N71" s="147">
        <ns0:f t="shared" si="40"/>
        <ns0:v>0</ns0:v>
      </ns0:c>
      <ns0:c r="O71" s="53">
        <ns0:v>40</ns0:v>
      </ns0:c>
      <ns0:c r="P71" s="147">
        <ns0:f t="shared" si="41"/>
        <ns0:v>0</ns0:v>
      </ns0:c>
      <ns0:c r="Q71" s="43">
        <ns0:f t="shared" si="42"/>
        <ns0:v>0</ns0:v>
      </ns0:c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</ns0:row>
    <ns0:row r="72" ht="12.75" customHeight="1">
      <ns0:c r="A72" s="1">
        <ns0:f t="shared" si="43"/>
        <ns0:v>8</ns0:v>
      </ns0:c>
      <ns0:c r="B72" s="140" t="s">
        <ns0:v>61</ns0:v>
      </ns0:c>
      <ns0:c r="C72" s="141">
        <ns0:v>20.0</ns0:v>
      </ns0:c>
      <ns0:c r="D72" s="35">
        <ns0:f t="shared" si="35"/>
        <ns0:v>0</ns0:v>
      </ns0:c>
      <ns0:c r="E72" s="37">
        <ns0:f t="shared" si="36"/>
        <ns0:v>0</ns0:v>
      </ns0:c>
      <ns0:c r="F72" s="37">
        <ns0:f t="shared" si="37"/>
        <ns0:v>0</ns0:v>
      </ns0:c>
      <ns0:c r="G72" s="38">
        <ns0:v>0</ns0:v>
      </ns0:c>
      <ns0:c r="H72" s="37">
        <ns0:v>0</ns0:v>
      </ns0:c>
      <ns0:c r="I72" s="142">
        <ns0:v>0</ns0:v>
      </ns0:c>
      <ns0:c r="J72" s="37">
        <ns0:v>0</ns0:v>
      </ns0:c>
      <ns0:c r="K72" s="42">
        <ns0:v>0</ns0:v>
      </ns0:c>
      <ns0:c r="L72" s="40">
        <ns0:f t="shared" si="39"/>
        <ns0:v>0</ns0:v>
      </ns0:c>
      <ns0:c r="M72" s="42">
        <ns0:v>0</ns0:v>
      </ns0:c>
      <ns0:c r="N72" s="40">
        <ns0:f t="shared" si="40"/>
        <ns0:v>0</ns0:v>
      </ns0:c>
      <ns0:c r="O72" s="42">
        <ns0:v>0</ns0:v>
      </ns0:c>
      <ns0:c r="P72" s="40">
        <ns0:f t="shared" si="41"/>
        <ns0:v>0</ns0:v>
      </ns0:c>
      <ns0:c r="Q72" s="43">
        <ns0:f t="shared" si="42"/>
        <ns0:v>0</ns0:v>
      </ns0:c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</ns0:row>
    <ns0:row r="73" ht="12.75" customHeight="1">
      <ns0:c r="A73" s="1"/>
      <ns0:c r="B73" s="140"/>
      <ns0:c r="C73" s="141"/>
      <ns0:c r="D73" s="35">
        <ns0:f t="shared" si="35"/>
        <ns0:v>0</ns0:v>
      </ns0:c>
      <ns0:c r="E73" s="37">
        <ns0:f t="shared" si="36"/>
        <ns0:v>0</ns0:v>
      </ns0:c>
      <ns0:c r="F73" s="37">
        <ns0:f t="shared" si="37"/>
        <ns0:v>0</ns0:v>
      </ns0:c>
      <ns0:c r="G73" s="38">
        <ns0:f t="shared" si="38"/>
        <ns0:v>0</ns0:v>
      </ns0:c>
      <ns0:c r="H73" s="37"/>
      <ns0:c r="I73" s="142"/>
      <ns0:c r="J73" s="37"/>
      <ns0:c r="K73" s="42"/>
      <ns0:c r="L73" s="40">
        <ns0:f t="shared" si="39"/>
        <ns0:v>0</ns0:v>
      </ns0:c>
      <ns0:c r="M73" s="42"/>
      <ns0:c r="N73" s="40">
        <ns0:f t="shared" si="40"/>
        <ns0:v>0</ns0:v>
      </ns0:c>
      <ns0:c r="O73" s="42"/>
      <ns0:c r="P73" s="40">
        <ns0:f t="shared" si="41"/>
        <ns0:v>0</ns0:v>
      </ns0:c>
      <ns0:c r="Q73" s="43">
        <ns0:f t="shared" si="42"/>
        <ns0:v>0</ns0:v>
      </ns0:c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</ns0:row>
    <ns0:row r="74" ht="12.75" hidden="1" customHeight="1">
      <ns0:c r="A74" s="1"/>
      <ns0:c r="B74" s="140"/>
      <ns0:c r="C74" s="144"/>
      <ns0:c r="D74" s="35">
        <ns0:f t="shared" si="35"/>
        <ns0:v>0</ns0:v>
      </ns0:c>
      <ns0:c r="E74" s="37">
        <ns0:f t="shared" si="36"/>
        <ns0:v>0</ns0:v>
      </ns0:c>
      <ns0:c r="F74" s="37">
        <ns0:f t="shared" si="37"/>
        <ns0:v>0</ns0:v>
      </ns0:c>
      <ns0:c r="G74" s="38">
        <ns0:f t="shared" si="38"/>
        <ns0:v>0</ns0:v>
      </ns0:c>
      <ns0:c r="H74" s="45"/>
      <ns0:c r="I74" s="45"/>
      <ns0:c r="J74" s="45"/>
      <ns0:c r="K74" s="48"/>
      <ns0:c r="L74" s="123">
        <ns0:f t="shared" si="39"/>
        <ns0:v>0</ns0:v>
      </ns0:c>
      <ns0:c r="M74" s="48"/>
      <ns0:c r="N74" s="123">
        <ns0:f t="shared" si="40"/>
        <ns0:v>0</ns0:v>
      </ns0:c>
      <ns0:c r="O74" s="48"/>
      <ns0:c r="P74" s="123">
        <ns0:f t="shared" si="41"/>
        <ns0:v>0</ns0:v>
      </ns0:c>
      <ns0:c r="Q74" s="43">
        <ns0:f t="shared" si="42"/>
        <ns0:v>0</ns0:v>
      </ns0:c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</ns0:row>
    <ns0:row r="75" ht="12.75" hidden="1" customHeight="1">
      <ns0:c r="A75" s="1"/>
      <ns0:c r="B75" s="149"/>
      <ns0:c r="C75" s="141"/>
      <ns0:c r="D75" s="35">
        <ns0:f t="shared" si="35"/>
        <ns0:v>0</ns0:v>
      </ns0:c>
      <ns0:c r="E75" s="37">
        <ns0:f t="shared" si="36"/>
        <ns0:v>0</ns0:v>
      </ns0:c>
      <ns0:c r="F75" s="37">
        <ns0:f t="shared" si="37"/>
        <ns0:v>0</ns0:v>
      </ns0:c>
      <ns0:c r="G75" s="38">
        <ns0:f t="shared" si="38"/>
        <ns0:v>0</ns0:v>
      </ns0:c>
      <ns0:c r="H75" s="37"/>
      <ns0:c r="I75" s="37"/>
      <ns0:c r="J75" s="37"/>
      <ns0:c r="K75" s="42"/>
      <ns0:c r="L75" s="40">
        <ns0:f t="shared" si="39"/>
        <ns0:v>0</ns0:v>
      </ns0:c>
      <ns0:c r="M75" s="42"/>
      <ns0:c r="N75" s="40">
        <ns0:f t="shared" si="40"/>
        <ns0:v>0</ns0:v>
      </ns0:c>
      <ns0:c r="O75" s="42"/>
      <ns0:c r="P75" s="40">
        <ns0:f t="shared" si="41"/>
        <ns0:v>0</ns0:v>
      </ns0:c>
      <ns0:c r="Q75" s="43">
        <ns0:f t="shared" si="42"/>
        <ns0:v>0</ns0:v>
      </ns0:c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</ns0:row>
    <ns0:row r="76" ht="12.75" hidden="1" customHeight="1">
      <ns0:c r="A76" s="1">
        <ns0:f t="shared" ref="A76:A81" si="44">1+A75</ns0:f>
        <ns0:v>1</ns0:v>
      </ns0:c>
      <ns0:c r="B76" s="150"/>
      <ns0:c r="C76" s="99">
        <ns0:v>13.0</ns0:v>
      </ns0:c>
      <ns0:c r="D76" s="35">
        <ns0:f t="shared" ref="D76:D85" si="45">SUM(K76:O76)</ns0:f>
        <ns0:v>0</ns0:v>
      </ns0:c>
      <ns0:c r="E76" s="37">
        <ns0:f t="shared" si="36"/>
        <ns0:v>0</ns0:v>
      </ns0:c>
      <ns0:c r="F76" s="37"/>
      <ns0:c r="G76" s="38"/>
      <ns0:c r="H76" s="37"/>
      <ns0:c r="I76" s="37"/>
      <ns0:c r="J76" s="37"/>
      <ns0:c r="K76" s="42"/>
      <ns0:c r="L76" s="40">
        <ns0:f t="shared" si="39"/>
        <ns0:v>0</ns0:v>
      </ns0:c>
      <ns0:c r="M76" s="42"/>
      <ns0:c r="N76" s="40">
        <ns0:f t="shared" si="40"/>
        <ns0:v>0</ns0:v>
      </ns0:c>
      <ns0:c r="O76" s="42"/>
      <ns0:c r="P76" s="40">
        <ns0:f t="shared" si="41"/>
        <ns0:v>0</ns0:v>
      </ns0:c>
      <ns0:c r="Q76" s="43">
        <ns0:f t="shared" ref="Q76:Q86" si="46">K76+M76+O76</ns0:f>
        <ns0:v>0</ns0:v>
      </ns0:c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</ns0:row>
    <ns0:row r="77" ht="12.75" hidden="1" customHeight="1">
      <ns0:c r="A77" s="1">
        <ns0:f t="shared" si="44"/>
        <ns0:v>2</ns0:v>
      </ns0:c>
      <ns0:c r="B77" s="151"/>
      <ns0:c r="C77" s="99">
        <ns0:v>13.0</ns0:v>
      </ns0:c>
      <ns0:c r="D77" s="35">
        <ns0:f t="shared" si="45"/>
        <ns0:v>0</ns0:v>
      </ns0:c>
      <ns0:c r="E77" s="37">
        <ns0:f t="shared" si="36"/>
        <ns0:v>0</ns0:v>
      </ns0:c>
      <ns0:c r="F77" s="37"/>
      <ns0:c r="G77" s="38"/>
      <ns0:c r="H77" s="37"/>
      <ns0:c r="I77" s="37"/>
      <ns0:c r="J77" s="37"/>
      <ns0:c r="K77" s="42"/>
      <ns0:c r="L77" s="40">
        <ns0:f t="shared" si="39"/>
        <ns0:v>0</ns0:v>
      </ns0:c>
      <ns0:c r="M77" s="42"/>
      <ns0:c r="N77" s="40">
        <ns0:f t="shared" si="40"/>
        <ns0:v>0</ns0:v>
      </ns0:c>
      <ns0:c r="O77" s="42"/>
      <ns0:c r="P77" s="40">
        <ns0:f t="shared" si="41"/>
        <ns0:v>0</ns0:v>
      </ns0:c>
      <ns0:c r="Q77" s="43">
        <ns0:f t="shared" si="46"/>
        <ns0:v>0</ns0:v>
      </ns0:c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</ns0:row>
    <ns0:row r="78" ht="12.75" hidden="1" customHeight="1">
      <ns0:c r="A78" s="1">
        <ns0:f t="shared" si="44"/>
        <ns0:v>3</ns0:v>
      </ns0:c>
      <ns0:c r="B78" s="152"/>
      <ns0:c r="C78" s="99">
        <ns0:v>13.0</ns0:v>
      </ns0:c>
      <ns0:c r="D78" s="35">
        <ns0:f t="shared" si="45"/>
        <ns0:v>0</ns0:v>
      </ns0:c>
      <ns0:c r="E78" s="37">
        <ns0:f t="shared" si="36"/>
        <ns0:v>0</ns0:v>
      </ns0:c>
      <ns0:c r="F78" s="37"/>
      <ns0:c r="G78" s="38"/>
      <ns0:c r="H78" s="37"/>
      <ns0:c r="I78" s="37"/>
      <ns0:c r="J78" s="37"/>
      <ns0:c r="K78" s="42"/>
      <ns0:c r="L78" s="40">
        <ns0:f t="shared" si="39"/>
        <ns0:v>0</ns0:v>
      </ns0:c>
      <ns0:c r="M78" s="42"/>
      <ns0:c r="N78" s="40">
        <ns0:f t="shared" si="40"/>
        <ns0:v>0</ns0:v>
      </ns0:c>
      <ns0:c r="O78" s="42"/>
      <ns0:c r="P78" s="40">
        <ns0:f t="shared" si="41"/>
        <ns0:v>0</ns0:v>
      </ns0:c>
      <ns0:c r="Q78" s="43">
        <ns0:f t="shared" si="46"/>
        <ns0:v>0</ns0:v>
      </ns0:c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</ns0:row>
    <ns0:row r="79" ht="12.75" hidden="1" customHeight="1">
      <ns0:c r="A79" s="1">
        <ns0:f t="shared" si="44"/>
        <ns0:v>4</ns0:v>
      </ns0:c>
      <ns0:c r="B79" s="153"/>
      <ns0:c r="C79" s="99">
        <ns0:v>13.0</ns0:v>
      </ns0:c>
      <ns0:c r="D79" s="35">
        <ns0:f t="shared" si="45"/>
        <ns0:v>0</ns0:v>
      </ns0:c>
      <ns0:c r="E79" s="37">
        <ns0:f t="shared" si="36"/>
        <ns0:v>0</ns0:v>
      </ns0:c>
      <ns0:c r="F79" s="37"/>
      <ns0:c r="G79" s="38"/>
      <ns0:c r="H79" s="37"/>
      <ns0:c r="I79" s="37"/>
      <ns0:c r="J79" s="37"/>
      <ns0:c r="K79" s="42"/>
      <ns0:c r="L79" s="40">
        <ns0:f t="shared" si="39"/>
        <ns0:v>0</ns0:v>
      </ns0:c>
      <ns0:c r="M79" s="42"/>
      <ns0:c r="N79" s="40">
        <ns0:f t="shared" si="40"/>
        <ns0:v>0</ns0:v>
      </ns0:c>
      <ns0:c r="O79" s="42"/>
      <ns0:c r="P79" s="40">
        <ns0:f t="shared" si="41"/>
        <ns0:v>0</ns0:v>
      </ns0:c>
      <ns0:c r="Q79" s="43">
        <ns0:f t="shared" si="46"/>
        <ns0:v>0</ns0:v>
      </ns0:c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</ns0:row>
    <ns0:row r="80" ht="12.75" hidden="1" customHeight="1">
      <ns0:c r="A80" s="1">
        <ns0:f t="shared" si="44"/>
        <ns0:v>5</ns0:v>
      </ns0:c>
      <ns0:c r="B80" s="33"/>
      <ns0:c r="C80" s="99">
        <ns0:v>13.0</ns0:v>
      </ns0:c>
      <ns0:c r="D80" s="35">
        <ns0:f t="shared" si="45"/>
        <ns0:v>0</ns0:v>
      </ns0:c>
      <ns0:c r="E80" s="37">
        <ns0:f t="shared" si="36"/>
        <ns0:v>0</ns0:v>
      </ns0:c>
      <ns0:c r="F80" s="37"/>
      <ns0:c r="G80" s="38"/>
      <ns0:c r="H80" s="37"/>
      <ns0:c r="I80" s="37"/>
      <ns0:c r="J80" s="37"/>
      <ns0:c r="K80" s="42"/>
      <ns0:c r="L80" s="40">
        <ns0:f t="shared" si="39"/>
        <ns0:v>0</ns0:v>
      </ns0:c>
      <ns0:c r="M80" s="42"/>
      <ns0:c r="N80" s="40">
        <ns0:f t="shared" si="40"/>
        <ns0:v>0</ns0:v>
      </ns0:c>
      <ns0:c r="O80" s="42"/>
      <ns0:c r="P80" s="40">
        <ns0:f t="shared" si="41"/>
        <ns0:v>0</ns0:v>
      </ns0:c>
      <ns0:c r="Q80" s="43">
        <ns0:f t="shared" si="46"/>
        <ns0:v>0</ns0:v>
      </ns0:c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</ns0:row>
    <ns0:row r="81" ht="12.75" hidden="1" customHeight="1">
      <ns0:c r="A81" s="1">
        <ns0:f t="shared" si="44"/>
        <ns0:v>6</ns0:v>
      </ns0:c>
      <ns0:c r="B81" s="33"/>
      <ns0:c r="C81" s="99"/>
      <ns0:c r="D81" s="35">
        <ns0:f t="shared" si="45"/>
        <ns0:v>0</ns0:v>
      </ns0:c>
      <ns0:c r="E81" s="37">
        <ns0:f t="shared" si="36"/>
        <ns0:v>0</ns0:v>
      </ns0:c>
      <ns0:c r="F81" s="37"/>
      <ns0:c r="G81" s="38"/>
      <ns0:c r="H81" s="37"/>
      <ns0:c r="I81" s="37"/>
      <ns0:c r="J81" s="37"/>
      <ns0:c r="K81" s="42"/>
      <ns0:c r="L81" s="40">
        <ns0:f t="shared" si="39"/>
        <ns0:v>0</ns0:v>
      </ns0:c>
      <ns0:c r="M81" s="42"/>
      <ns0:c r="N81" s="40">
        <ns0:f t="shared" si="40"/>
        <ns0:v>0</ns0:v>
      </ns0:c>
      <ns0:c r="O81" s="42"/>
      <ns0:c r="P81" s="40">
        <ns0:f t="shared" si="41"/>
        <ns0:v>0</ns0:v>
      </ns0:c>
      <ns0:c r="Q81" s="43">
        <ns0:f t="shared" si="46"/>
        <ns0:v>0</ns0:v>
      </ns0:c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</ns0:row>
    <ns0:row r="82" ht="12.75" hidden="1" customHeight="1">
      <ns0:c r="A82" s="1">
        <ns0:v>13.0</ns0:v>
      </ns0:c>
      <ns0:c r="B82" s="33"/>
      <ns0:c r="C82" s="99"/>
      <ns0:c r="D82" s="35">
        <ns0:f t="shared" si="45"/>
        <ns0:v>0</ns0:v>
      </ns0:c>
      <ns0:c r="E82" s="37">
        <ns0:f t="shared" si="36"/>
        <ns0:v>0</ns0:v>
      </ns0:c>
      <ns0:c r="F82" s="37"/>
      <ns0:c r="G82" s="38"/>
      <ns0:c r="H82" s="37"/>
      <ns0:c r="I82" s="37"/>
      <ns0:c r="J82" s="37"/>
      <ns0:c r="K82" s="42"/>
      <ns0:c r="L82" s="40">
        <ns0:f t="shared" si="39"/>
        <ns0:v>0</ns0:v>
      </ns0:c>
      <ns0:c r="M82" s="42"/>
      <ns0:c r="N82" s="40">
        <ns0:f t="shared" si="40"/>
        <ns0:v>0</ns0:v>
      </ns0:c>
      <ns0:c r="O82" s="42"/>
      <ns0:c r="P82" s="40">
        <ns0:f t="shared" si="41"/>
        <ns0:v>0</ns0:v>
      </ns0:c>
      <ns0:c r="Q82" s="43">
        <ns0:f t="shared" si="46"/>
        <ns0:v>0</ns0:v>
      </ns0:c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</ns0:row>
    <ns0:row r="83" ht="12.75" hidden="1" customHeight="1">
      <ns0:c r="A83" s="1">
        <ns0:v>14.0</ns0:v>
      </ns0:c>
      <ns0:c r="B83" s="154"/>
      <ns0:c r="C83" s="99"/>
      <ns0:c r="D83" s="35">
        <ns0:f t="shared" si="45"/>
        <ns0:v>0</ns0:v>
      </ns0:c>
      <ns0:c r="E83" s="37">
        <ns0:f t="shared" si="36"/>
        <ns0:v>0</ns0:v>
      </ns0:c>
      <ns0:c r="F83" s="37"/>
      <ns0:c r="G83" s="38"/>
      <ns0:c r="H83" s="37"/>
      <ns0:c r="I83" s="37"/>
      <ns0:c r="J83" s="37"/>
      <ns0:c r="K83" s="42"/>
      <ns0:c r="L83" s="40">
        <ns0:f t="shared" si="39"/>
        <ns0:v>0</ns0:v>
      </ns0:c>
      <ns0:c r="M83" s="42"/>
      <ns0:c r="N83" s="40">
        <ns0:f t="shared" si="40"/>
        <ns0:v>0</ns0:v>
      </ns0:c>
      <ns0:c r="O83" s="42"/>
      <ns0:c r="P83" s="40">
        <ns0:f t="shared" si="41"/>
        <ns0:v>0</ns0:v>
      </ns0:c>
      <ns0:c r="Q83" s="43">
        <ns0:f t="shared" si="46"/>
        <ns0:v>0</ns0:v>
      </ns0:c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</ns0:row>
    <ns0:row r="84" ht="12.75" hidden="1" customHeight="1">
      <ns0:c r="A84" s="1">
        <ns0:v>15.0</ns0:v>
      </ns0:c>
      <ns0:c r="B84" s="33"/>
      <ns0:c r="C84" s="99"/>
      <ns0:c r="D84" s="35">
        <ns0:f t="shared" si="45"/>
        <ns0:v>0</ns0:v>
      </ns0:c>
      <ns0:c r="E84" s="37">
        <ns0:f t="shared" si="36"/>
        <ns0:v>0</ns0:v>
      </ns0:c>
      <ns0:c r="F84" s="37"/>
      <ns0:c r="G84" s="38"/>
      <ns0:c r="H84" s="37"/>
      <ns0:c r="I84" s="37"/>
      <ns0:c r="J84" s="37"/>
      <ns0:c r="K84" s="42"/>
      <ns0:c r="L84" s="40">
        <ns0:f t="shared" si="39"/>
        <ns0:v>0</ns0:v>
      </ns0:c>
      <ns0:c r="M84" s="42"/>
      <ns0:c r="N84" s="40">
        <ns0:f t="shared" si="40"/>
        <ns0:v>0</ns0:v>
      </ns0:c>
      <ns0:c r="O84" s="42"/>
      <ns0:c r="P84" s="40">
        <ns0:f t="shared" si="41"/>
        <ns0:v>0</ns0:v>
      </ns0:c>
      <ns0:c r="Q84" s="43">
        <ns0:f t="shared" si="46"/>
        <ns0:v>0</ns0:v>
      </ns0:c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</ns0:row>
    <ns0:row r="85" ht="12.75" hidden="1" customHeight="1">
      <ns0:c r="A85" s="1">
        <ns0:v>16.0</ns0:v>
      </ns0:c>
      <ns0:c r="B85" s="151"/>
      <ns0:c r="C85" s="5"/>
      <ns0:c r="D85" s="155">
        <ns0:f t="shared" si="45"/>
        <ns0:v>0</ns0:v>
      </ns0:c>
      <ns0:c r="E85" s="50">
        <ns0:f t="shared" si="36"/>
        <ns0:v>0</ns0:v>
      </ns0:c>
      <ns0:c r="F85" s="50"/>
      <ns0:c r="G85" s="156"/>
      <ns0:c r="H85" s="50"/>
      <ns0:c r="I85" s="50"/>
      <ns0:c r="J85" s="50"/>
      <ns0:c r="K85" s="53"/>
      <ns0:c r="L85" s="147">
        <ns0:f t="shared" si="39"/>
        <ns0:v>0</ns0:v>
      </ns0:c>
      <ns0:c r="M85" s="53"/>
      <ns0:c r="N85" s="147">
        <ns0:f t="shared" si="40"/>
        <ns0:v>0</ns0:v>
      </ns0:c>
      <ns0:c r="O85" s="53"/>
      <ns0:c r="P85" s="147">
        <ns0:f t="shared" si="41"/>
        <ns0:v>0</ns0:v>
      </ns0:c>
      <ns0:c r="Q85" s="63">
        <ns0:f t="shared" si="46"/>
        <ns0:v>0</ns0:v>
      </ns0:c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</ns0:row>
    <ns0:row r="86" ht="12.75" customHeight="1">
      <ns0:c r="A86" s="16"/>
      <ns0:c r="B86" s="157" t="s">
        <ns0:v>2</ns0:v>
      </ns0:c>
      <ns0:c r="C86" s="158"/>
      <ns0:c r="D86" s="159">
        <ns0:f t="shared" ref="D86:K86" si="47">SUM(D64:D85)</ns0:f>
        <ns0:v>0</ns0:v>
      </ns0:c>
      <ns0:c r="E86" s="102">
        <ns0:f t="shared" si="47"/>
        <ns0:v>0</ns0:v>
      </ns0:c>
      <ns0:c r="F86" s="102">
        <ns0:f t="shared" si="47"/>
        <ns0:v>0</ns0:v>
      </ns0:c>
      <ns0:c r="G86" s="103">
        <ns0:f t="shared" si="47"/>
        <ns0:v>0</ns0:v>
      </ns0:c>
      <ns0:c r="H86" s="102">
        <ns0:f t="shared" si="47"/>
        <ns0:v>0</ns0:v>
      </ns0:c>
      <ns0:c r="I86" s="102">
        <ns0:f t="shared" si="47"/>
        <ns0:v>0</ns0:v>
      </ns0:c>
      <ns0:c r="J86" s="102">
        <ns0:f t="shared" si="47"/>
        <ns0:v>0</ns0:v>
      </ns0:c>
      <ns0:c r="K86" s="104">
        <ns0:f t="shared" si="47"/>
        <ns0:v>0</ns0:v>
      </ns0:c>
      <ns0:c r="L86" s="131">
        <ns0:f t="shared" si="39"/>
        <ns0:v>0</ns0:v>
      </ns0:c>
      <ns0:c r="M86" s="104">
        <ns0:f>SUM(M64:M85)</ns0:f>
        <ns0:v>0</ns0:v>
      </ns0:c>
      <ns0:c r="N86" s="131">
        <ns0:f t="shared" si="40"/>
        <ns0:v>0</ns0:v>
      </ns0:c>
      <ns0:c r="O86" s="104">
        <ns0:f>SUM(O64:O85)</ns0:f>
        <ns0:v>0</ns0:v>
      </ns0:c>
      <ns0:c r="P86" s="131">
        <ns0:f t="shared" si="41"/>
        <ns0:v>0</ns0:v>
      </ns0:c>
      <ns0:c r="Q86" s="104">
        <ns0:f t="shared" si="46"/>
        <ns0:v>0</ns0:v>
      </ns0:c>
      <ns0:c r="R86" s="22"/>
      <ns0:c r="S86" s="22"/>
      <ns0:c r="T86" s="22"/>
      <ns0:c r="U86" s="22"/>
      <ns0:c r="V86" s="22"/>
      <ns0:c r="W86" s="22"/>
      <ns0:c r="X86" s="22"/>
      <ns0:c r="Y86" s="22"/>
      <ns0:c r="Z86" s="22"/>
      <ns0:c r="AA86" s="22"/>
      <ns0:c r="AB86" s="22"/>
      <ns0:c r="AC86" s="22"/>
    </ns0:row>
    <ns0:row r="87" ht="12.75" customHeight="1">
      <ns0:c r="A87" s="1"/>
      <ns0:c r="B87" s="74" t="s">
        <ns0:v>34</ns0:v>
      </ns0:c>
      <ns0:c r="C87" s="2"/>
      <ns0:c r="D87" s="75"/>
      <ns0:c r="E87" s="2"/>
      <ns0:c r="F87" s="2"/>
      <ns0:c r="G87" s="4"/>
      <ns0:c r="H87" s="2"/>
      <ns0:c r="I87" s="2"/>
      <ns0:c r="J87" s="2"/>
      <ns0:c r="K87" s="76"/>
      <ns0:c r="L87" s="76"/>
      <ns0:c r="M87" s="76"/>
      <ns0:c r="N87" s="76"/>
      <ns0:c r="O87" s="76"/>
      <ns0:c r="P87" s="76"/>
      <ns0:c r="Q87" s="76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</ns0:row>
    <ns0:row r="88" ht="12.75" customHeight="1">
      <ns0:c r="A88" s="1"/>
      <ns0:c r="B88" s="6" t="s">
        <ns0:v>35</ns0:v>
      </ns0:c>
      <ns0:c r="C88" s="2"/>
      <ns0:c r="D88" s="75"/>
      <ns0:c r="E88" s="77">
        <ns0:f>E86+G86</ns0:f>
        <ns0:v>0</ns0:v>
      </ns0:c>
      <ns0:c r="F88" s="77"/>
      <ns0:c r="G88" s="78">
        <ns0:f>SUM(H88:J88)/1.18</ns0:f>
        <ns0:v>0</ns0:v>
      </ns0:c>
      <ns0:c r="H88" s="79">
        <ns0:f t="shared" ref="H88:J88" si="48">H86*1.18</ns0:f>
        <ns0:v>0</ns0:v>
      </ns0:c>
      <ns0:c r="I88" s="79">
        <ns0:f t="shared" si="48"/>
        <ns0:v>0</ns0:v>
      </ns0:c>
      <ns0:c r="J88" s="79">
        <ns0:f t="shared" si="48"/>
        <ns0:v>0</ns0:v>
      </ns0:c>
      <ns0:c r="K88" s="109">
        <ns0:f>SUMPRODUCT(E64:E85,L64:L85)*1.18</ns0:f>
        <ns0:v>0</ns0:v>
      </ns0:c>
      <ns0:c r="L88" s="110"/>
      <ns0:c r="M88" s="109">
        <ns0:f>SUMPRODUCT(E64:E85,N64:N85)*1.18</ns0:f>
        <ns0:v>0</ns0:v>
      </ns0:c>
      <ns0:c r="N88" s="110"/>
      <ns0:c r="O88" s="109">
        <ns0:f>SUMPRODUCT(E64:E85,P64:P85)*1.18</ns0:f>
        <ns0:v>0</ns0:v>
      </ns0:c>
      <ns0:c r="P88" s="110"/>
      <ns0:c r="Q88" s="111">
        <ns0:f>(K88+M88+O88)/1.18</ns0:f>
        <ns0:v>0</ns0:v>
      </ns0:c>
      <ns0:c r="R88" s="77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</ns0:row>
    <ns0:row r="89" ht="12.75" customHeight="1">
      <ns0:c r="A89" s="1"/>
      <ns0:c r="B89" s="86"/>
      <ns0:c r="C89" s="2"/>
      <ns0:c r="D89" s="75"/>
      <ns0:c r="E89" s="77">
        <ns0:f>G88+Q88</ns0:f>
        <ns0:v>0</ns0:v>
      </ns0:c>
      <ns0:c r="F89" s="77"/>
      <ns0:c r="G89" s="132"/>
      <ns0:c r="H89" s="77"/>
      <ns0:c r="I89" s="77"/>
      <ns0:c r="J89" s="77"/>
      <ns0:c r="K89" s="160"/>
      <ns0:c r="L89" s="110"/>
      <ns0:c r="M89" s="160"/>
      <ns0:c r="N89" s="110"/>
      <ns0:c r="O89" s="160"/>
      <ns0:c r="P89" s="110"/>
      <ns0:c r="Q89" s="160"/>
      <ns0:c r="R89" s="77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</ns0:row>
    <ns0:row r="90" ht="12.75" customHeight="1">
      <ns0:c r="A90" s="1"/>
      <ns0:c r="B90" s="86"/>
      <ns0:c r="C90" s="2"/>
      <ns0:c r="D90" s="75"/>
      <ns0:c r="E90" s="2"/>
      <ns0:c r="F90" s="2"/>
      <ns0:c r="G90" s="4"/>
      <ns0:c r="H90" s="2"/>
      <ns0:c r="I90" s="2"/>
      <ns0:c r="J90" s="2"/>
      <ns0:c r="K90" s="110"/>
      <ns0:c r="L90" s="110"/>
      <ns0:c r="M90" s="110"/>
      <ns0:c r="N90" s="110"/>
      <ns0:c r="O90" s="110"/>
      <ns0:c r="P90" s="110"/>
      <ns0:c r="Q90" s="110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</ns0:row>
    <ns0:row r="91" ht="12.75" customHeight="1">
      <ns0:c r="A91" s="1"/>
      <ns0:c r="B91" s="161" t="s">
        <ns0:v>62</ns0:v>
      </ns0:c>
      <ns0:c r="C91" s="2"/>
      <ns0:c r="D91" s="162"/>
      <ns0:c r="E91" s="2"/>
      <ns0:c r="F91" s="163">
        <ns0:f>F26+F40+F57+F86</ns0:f>
        <ns0:v>0</ns0:v>
      </ns0:c>
      <ns0:c r="G91" s="4"/>
      <ns0:c r="H91" s="2"/>
      <ns0:c r="I91" s="2"/>
      <ns0:c r="J91" s="2"/>
      <ns0:c r="K91" s="77"/>
      <ns0:c r="L91" s="77"/>
      <ns0:c r="M91" s="77"/>
      <ns0:c r="N91" s="77"/>
      <ns0:c r="O91" s="77"/>
      <ns0:c r="P91" s="77"/>
      <ns0:c r="Q91" s="77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</ns0:row>
    <ns0:row r="92" ht="12.75" customHeight="1">
      <ns0:c r="A92" s="1"/>
      <ns0:c r="B92" s="2"/>
      <ns0:c r="C92" s="2"/>
      <ns0:c r="D92" s="75"/>
      <ns0:c r="E92" s="2"/>
      <ns0:c r="F92" s="2"/>
      <ns0:c r="G92" s="4"/>
      <ns0:c r="H92" s="2"/>
      <ns0:c r="I92" s="2"/>
      <ns0:c r="J92" s="2"/>
      <ns0:c r="K92" s="2"/>
      <ns0:c r="L92" s="2"/>
      <ns0:c r="M92" s="2"/>
      <ns0:c r="N92" s="2"/>
      <ns0:c r="O92" s="2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</ns0:row>
    <ns0:row r="93" ht="12.75" customHeight="1">
      <ns0:c r="A93" s="1"/>
      <ns0:c r="B93" s="164" t="s">
        <ns0:v>63</ns0:v>
      </ns0:c>
      <ns0:c r="C93" s="77" t="str">
        <ns0:f>K59+H59-M28-I28-M42-I42</ns0:f>
        <ns0:v>#DIV/0!</ns0:v>
      </ns0:c>
      <ns0:c r="D93" s="3"/>
      <ns0:c r="F93" s="2"/>
      <ns0:c r="G93" s="4"/>
      <ns0:c r="H93" s="2"/>
      <ns0:c r="I93" s="2"/>
      <ns0:c r="J93" s="2"/>
      <ns0:c r="K93" s="2"/>
      <ns0:c r="L93" s="2"/>
      <ns0:c r="M93" s="2"/>
      <ns0:c r="N93" s="2"/>
      <ns0:c r="O93" s="2"/>
      <ns0:c r="P93" s="2"/>
      <ns0:c r="Q93" s="165">
        <ns0:f>Q86+Q57+Q40+Q26</ns0:f>
        <ns0:v>0</ns0:v>
      </ns0:c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</ns0:row>
    <ns0:row r="94" ht="12.75" customHeight="1">
      <ns0:c r="A94" s="1"/>
      <ns0:c r="B94" s="164" t="s">
        <ns0:v>64</ns0:v>
      </ns0:c>
      <ns0:c r="C94" s="77" t="str">
        <ns0:f>K88+H88-O28-J28-O42-J42</ns0:f>
        <ns0:v>#DIV/0!</ns0:v>
      </ns0:c>
      <ns0:c r="D94" s="3"/>
      <ns0:c r="E94" s="2"/>
      <ns0:c r="F94" s="2"/>
      <ns0:c r="G94" s="4"/>
      <ns0:c r="H94" s="2"/>
      <ns0:c r="I94" s="2"/>
      <ns0:c r="J94" s="2"/>
      <ns0:c r="K94" s="2"/>
      <ns0:c r="L94" s="2"/>
      <ns0:c r="M94" s="2"/>
      <ns0:c r="N94" s="2"/>
      <ns0:c r="O94" s="2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</ns0:row>
    <ns0:row r="95" ht="12.75" customHeight="1">
      <ns0:c r="A95" s="1"/>
      <ns0:c r="B95" s="164" t="s">
        <ns0:v>65</ns0:v>
      </ns0:c>
      <ns0:c r="C95" s="77">
        <ns0:f>M88+I88-O59-J59</ns0:f>
        <ns0:v>0</ns0:v>
      </ns0:c>
      <ns0:c r="D95" s="3"/>
      <ns0:c r="E95" s="2"/>
      <ns0:c r="F95" s="2"/>
      <ns0:c r="G95" s="132">
        <ns0:v>0</ns0:v>
      </ns0:c>
      <ns0:c r="H95" s="2">
        <ns0:v>0</ns0:v>
      </ns0:c>
      <ns0:c r="I95" s="2">
        <ns0:v>0</ns0:v>
      </ns0:c>
      <ns0:c r="J95" s="2">
        <ns0:v>0</ns0:v>
      </ns0:c>
      <ns0:c r="K95" s="2">
        <ns0:v>0</ns0:v>
      </ns0:c>
      <ns0:c r="L95" s="2"/>
      <ns0:c r="M95" s="2">
        <ns0:v>0</ns0:v>
      </ns0:c>
      <ns0:c r="N95" s="2"/>
      <ns0:c r="O95" s="2">
        <ns0:v>0</ns0:v>
      </ns0:c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</ns0:row>
    <ns0:row r="96" ht="12.75" customHeight="1">
      <ns0:c r="A96" s="1"/>
      <ns0:c r="B96" s="2"/>
      <ns0:c r="C96" s="110"/>
      <ns0:c r="D96" s="3"/>
      <ns0:c r="E96" s="2"/>
      <ns0:c r="F96" s="2"/>
      <ns0:c r="G96" s="4"/>
      <ns0:c r="H96" s="2"/>
      <ns0:c r="I96" s="2"/>
      <ns0:c r="J96" s="2"/>
      <ns0:c r="K96" s="2"/>
      <ns0:c r="L96" s="2"/>
      <ns0:c r="M96" s="2"/>
      <ns0:c r="N96" s="2"/>
      <ns0:c r="O96" s="2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</ns0:row>
    <ns0:row r="97" ht="12.75" hidden="1" customHeight="1">
      <ns0:c r="A97" s="1"/>
      <ns0:c r="B97" s="166" t="s">
        <ns0:v>66</ns0:v>
      </ns0:c>
      <ns0:c r="C97" s="2"/>
      <ns0:c r="D97" s="3"/>
      <ns0:c r="E97" s="2"/>
      <ns0:c r="F97" s="2"/>
      <ns0:c r="G97" s="4"/>
      <ns0:c r="H97" s="2"/>
      <ns0:c r="I97" s="2"/>
      <ns0:c r="J97" s="2"/>
      <ns0:c r="K97" s="2"/>
      <ns0:c r="L97" s="2"/>
      <ns0:c r="M97" s="2"/>
      <ns0:c r="N97" s="2"/>
      <ns0:c r="O97" s="2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</ns0:row>
    <ns0:row r="98" ht="12.75" hidden="1" customHeight="1">
      <ns0:c r="A98" s="1"/>
      <ns0:c r="B98" s="166" t="s">
        <ns0:v>67</ns0:v>
      </ns0:c>
      <ns0:c r="C98" s="2"/>
      <ns0:c r="D98" s="3"/>
      <ns0:c r="E98" s="2"/>
      <ns0:c r="F98" s="2"/>
      <ns0:c r="G98" s="4"/>
      <ns0:c r="H98" s="2"/>
      <ns0:c r="I98" s="2"/>
      <ns0:c r="J98" s="2"/>
      <ns0:c r="K98" s="2"/>
      <ns0:c r="L98" s="2"/>
      <ns0:c r="M98" s="2"/>
      <ns0:c r="N98" s="2"/>
      <ns0:c r="O98" s="2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</ns0:row>
    <ns0:row r="99" ht="12.75" hidden="1" customHeight="1">
      <ns0:c r="A99" s="1"/>
      <ns0:c r="B99" s="166" t="s">
        <ns0:v>68</ns0:v>
      </ns0:c>
      <ns0:c r="C99" s="2"/>
      <ns0:c r="D99" s="3"/>
      <ns0:c r="E99" s="2"/>
      <ns0:c r="F99" s="2"/>
      <ns0:c r="G99" s="4"/>
      <ns0:c r="H99" s="2"/>
      <ns0:c r="I99" s="2"/>
      <ns0:c r="J99" s="2"/>
      <ns0:c r="K99" s="2"/>
      <ns0:c r="L99" s="2"/>
      <ns0:c r="M99" s="2"/>
      <ns0:c r="N99" s="2"/>
      <ns0:c r="O99" s="2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</ns0:row>
    <ns0:row r="100" ht="12.75" customHeight="1">
      <ns0:c r="A100" s="1"/>
      <ns0:c r="B100" s="2"/>
      <ns0:c r="C100" s="2"/>
      <ns0:c r="D100" s="3"/>
      <ns0:c r="E100" s="2"/>
      <ns0:c r="F100" s="2"/>
      <ns0:c r="G100" s="4"/>
      <ns0:c r="H100" s="2"/>
      <ns0:c r="I100" s="2"/>
      <ns0:c r="J100" s="2"/>
      <ns0:c r="K100" s="2"/>
      <ns0:c r="L100" s="2"/>
      <ns0:c r="M100" s="2"/>
      <ns0:c r="N100" s="2"/>
      <ns0:c r="O100" s="2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</ns0:row>
    <ns0:row r="101" ht="12.75" customHeight="1">
      <ns0:c r="A101" s="1"/>
      <ns0:c r="B101" s="2" t="str">
        <ns0:f t="array" ref="B101">_xludf.IFS(C93=0, "No Scanio/SeaAir Reimbursement", C93&gt;0, "Scanio Owes Sea &amp; Air", C93&lt;0, "Sea &amp; Air Owes Scanio")</ns0:f>
        <ns0:v>#NAME?</ns0:v>
      </ns0:c>
      <ns0:c r="C101" s="2"/>
      <ns0:c r="D101" s="3"/>
      <ns0:c r="E101" s="2"/>
      <ns0:c r="F101" s="77">
        <ns0:f>G88+G59+G42+G28</ns0:f>
        <ns0:v>0</ns0:v>
      </ns0:c>
      <ns0:c r="G101" s="4"/>
      <ns0:c r="H101" s="2"/>
      <ns0:c r="I101" s="2"/>
      <ns0:c r="J101" s="2"/>
      <ns0:c r="K101" s="2"/>
      <ns0:c r="L101" s="2"/>
      <ns0:c r="M101" s="2"/>
      <ns0:c r="N101" s="2"/>
      <ns0:c r="O101" s="2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</ns0:row>
    <ns0:row r="102" ht="12.75" customHeight="1">
      <ns0:c r="A102" s="1"/>
      <ns0:c r="B102" s="2"/>
      <ns0:c r="C102" s="77"/>
      <ns0:c r="D102" s="3"/>
      <ns0:c r="E102" s="2"/>
      <ns0:c r="F102" s="2"/>
      <ns0:c r="G102" s="4"/>
      <ns0:c r="H102" s="2"/>
      <ns0:c r="I102" s="2"/>
      <ns0:c r="J102" s="2"/>
      <ns0:c r="K102" s="2"/>
      <ns0:c r="L102" s="2"/>
      <ns0:c r="M102" s="2"/>
      <ns0:c r="N102" s="2"/>
      <ns0:c r="O102" s="2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</ns0:row>
    <ns0:row r="103" ht="12.75" customHeight="1">
      <ns0:c r="A103" s="1"/>
      <ns0:c r="B103" s="2"/>
      <ns0:c r="C103" s="77"/>
      <ns0:c r="D103" s="3"/>
      <ns0:c r="E103" s="2"/>
      <ns0:c r="F103" s="2"/>
      <ns0:c r="G103" s="132"/>
      <ns0:c r="H103" s="2"/>
      <ns0:c r="I103" s="2"/>
      <ns0:c r="J103" s="2"/>
      <ns0:c r="K103" s="2"/>
      <ns0:c r="L103" s="2"/>
      <ns0:c r="M103" s="2"/>
      <ns0:c r="N103" s="2"/>
      <ns0:c r="O103" s="2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</ns0:row>
    <ns0:row r="104"/>
    <ns0:row r="105"/>
    <ns0:row r="106"/>
    <ns0:row r="107"/>
    <ns0:row r="108"/>
    <ns0:row r="109"/>
    <ns0:row r="110"/>
    <ns0:row r="111"/>
    <ns0:row r="112"/>
    <ns0:row r="113"/>
    <ns0:row r="114"/>
    <ns0:row r="115"/>
    <ns0:row r="116"/>
    <ns0:row r="117"/>
    <ns0:row r="118"/>
    <ns0:row r="119"/>
    <ns0:row r="120"/>
    <ns0:row r="121"/>
    <ns0:row r="122"/>
    <ns0:row r="123"/>
    <ns0:row r="124"/>
    <ns0:row r="125"/>
    <ns0:row r="126"/>
    <ns0:row r="127"/>
    <ns0:row r="128"/>
    <ns0:row r="129"/>
    <ns0:row r="130"/>
    <ns0:row r="131"/>
    <ns0:row r="132"/>
    <ns0:row r="133"/>
    <ns0:row r="134"/>
    <ns0:row r="135"/>
    <ns0:row r="136"/>
    <ns0:row r="137"/>
    <ns0:row r="138"/>
    <ns0:row r="139"/>
    <ns0:row r="140"/>
    <ns0:row r="141"/>
    <ns0:row r="142"/>
    <ns0:row r="143"/>
    <ns0:row r="144"/>
    <ns0:row r="145"/>
    <ns0:row r="146"/>
    <ns0:row r="147"/>
    <ns0:row r="148"/>
    <ns0:row r="149"/>
    <ns0:row r="150"/>
    <ns0:row r="151"/>
    <ns0:row r="152"/>
    <ns0:row r="153"/>
    <ns0:row r="154"/>
    <ns0:row r="155"/>
    <ns0:row r="156"/>
    <ns0:row r="157"/>
    <ns0:row r="158"/>
    <ns0:row r="159"/>
    <ns0:row r="160"/>
    <ns0:row r="161"/>
    <ns0:row r="162"/>
    <ns0:row r="163"/>
    <ns0:row r="164"/>
    <ns0:row r="165"/>
    <ns0:row r="166"/>
    <ns0:row r="167"/>
    <ns0:row r="168"/>
    <ns0:row r="169"/>
    <ns0:row r="170"/>
    <ns0:row r="171"/>
    <ns0:row r="172"/>
    <ns0:row r="173"/>
    <ns0:row r="174"/>
    <ns0:row r="175"/>
    <ns0:row r="176"/>
    <ns0:row r="177"/>
    <ns0:row r="178"/>
    <ns0:row r="179"/>
    <ns0:row r="180"/>
    <ns0:row r="181"/>
    <ns0:row r="182"/>
    <ns0:row r="183"/>
    <ns0:row r="184"/>
    <ns0:row r="185"/>
    <ns0:row r="186"/>
    <ns0:row r="187"/>
    <ns0:row r="188"/>
    <ns0:row r="189"/>
    <ns0:row r="190"/>
    <ns0:row r="191"/>
    <ns0:row r="192"/>
    <ns0:row r="193"/>
    <ns0:row r="194"/>
    <ns0:row r="195"/>
    <ns0:row r="196"/>
    <ns0:row r="197"/>
    <ns0:row r="198"/>
    <ns0:row r="199"/>
    <ns0:row r="200"/>
    <ns0:row r="201"/>
    <ns0:row r="202"/>
    <ns0:row r="203"/>
    <ns0:row r="204"/>
    <ns0:row r="205"/>
    <ns0:row r="206"/>
    <ns0:row r="207"/>
    <ns0:row r="208"/>
    <ns0:row r="209"/>
    <ns0:row r="210"/>
    <ns0:row r="211"/>
    <ns0:row r="212"/>
    <ns0:row r="213"/>
    <ns0:row r="214"/>
    <ns0:row r="215"/>
    <ns0:row r="216"/>
    <ns0:row r="217"/>
    <ns0:row r="218"/>
    <ns0:row r="219"/>
    <ns0:row r="220"/>
    <ns0:row r="221"/>
    <ns0:row r="222"/>
    <ns0:row r="223"/>
    <ns0:row r="224"/>
    <ns0:row r="225"/>
    <ns0:row r="226"/>
    <ns0:row r="227"/>
    <ns0:row r="228"/>
    <ns0:row r="229"/>
    <ns0:row r="230"/>
    <ns0:row r="231"/>
    <ns0:row r="232"/>
    <ns0:row r="233"/>
    <ns0:row r="234"/>
    <ns0:row r="235"/>
    <ns0:row r="236"/>
    <ns0:row r="237"/>
    <ns0:row r="238"/>
    <ns0:row r="239"/>
    <ns0:row r="240"/>
    <ns0:row r="241"/>
    <ns0:row r="242"/>
    <ns0:row r="243"/>
    <ns0:row r="244"/>
    <ns0:row r="245"/>
    <ns0:row r="246"/>
    <ns0:row r="247"/>
    <ns0:row r="248"/>
    <ns0:row r="249"/>
    <ns0:row r="250"/>
    <ns0:row r="251"/>
    <ns0:row r="252"/>
    <ns0:row r="253"/>
    <ns0:row r="254"/>
    <ns0:row r="255"/>
    <ns0:row r="256"/>
    <ns0:row r="257"/>
    <ns0:row r="258"/>
    <ns0:row r="259"/>
    <ns0:row r="260"/>
    <ns0:row r="261"/>
    <ns0:row r="262"/>
    <ns0:row r="263"/>
    <ns0:row r="264"/>
    <ns0:row r="265"/>
    <ns0:row r="266"/>
    <ns0:row r="267"/>
    <ns0:row r="268"/>
    <ns0:row r="269"/>
    <ns0:row r="270"/>
    <ns0:row r="271"/>
    <ns0:row r="272"/>
    <ns0:row r="273"/>
    <ns0:row r="274"/>
    <ns0:row r="275"/>
    <ns0:row r="276"/>
    <ns0:row r="277"/>
    <ns0:row r="278"/>
    <ns0:row r="279"/>
    <ns0:row r="280"/>
    <ns0:row r="281"/>
    <ns0:row r="282"/>
    <ns0:row r="283"/>
    <ns0:row r="284"/>
    <ns0:row r="285"/>
    <ns0:row r="286"/>
    <ns0:row r="287"/>
    <ns0:row r="288"/>
    <ns0:row r="289"/>
    <ns0:row r="290"/>
    <ns0:row r="291"/>
    <ns0:row r="292"/>
    <ns0:row r="293"/>
    <ns0:row r="294"/>
    <ns0:row r="295"/>
    <ns0:row r="296"/>
    <ns0:row r="297"/>
    <ns0:row r="298"/>
    <ns0:row r="299"/>
    <ns0:row r="300"/>
    <ns0:row r="301"/>
    <ns0:row r="302"/>
    <ns0:row r="303"/>
    <ns0:row r="304"/>
    <ns0:row r="305"/>
    <ns0:row r="306"/>
    <ns0:row r="307"/>
    <ns0:row r="308"/>
    <ns0:row r="309"/>
    <ns0:row r="310"/>
    <ns0:row r="311"/>
    <ns0:row r="312"/>
    <ns0:row r="313"/>
    <ns0:row r="314"/>
    <ns0:row r="315"/>
    <ns0:row r="316"/>
    <ns0:row r="317"/>
    <ns0:row r="318"/>
    <ns0:row r="319"/>
    <ns0:row r="320"/>
    <ns0:row r="321"/>
    <ns0:row r="322"/>
    <ns0:row r="323"/>
    <ns0:row r="324"/>
    <ns0:row r="325"/>
    <ns0:row r="326"/>
    <ns0:row r="327"/>
    <ns0:row r="328"/>
    <ns0:row r="329"/>
    <ns0:row r="330"/>
    <ns0:row r="331"/>
    <ns0:row r="332"/>
    <ns0:row r="333"/>
    <ns0:row r="334"/>
    <ns0:row r="335"/>
    <ns0:row r="336"/>
    <ns0:row r="337"/>
    <ns0:row r="338"/>
    <ns0:row r="339"/>
    <ns0:row r="340"/>
    <ns0:row r="341"/>
    <ns0:row r="342"/>
    <ns0:row r="343"/>
    <ns0:row r="344"/>
    <ns0:row r="345"/>
    <ns0:row r="346"/>
    <ns0:row r="347"/>
    <ns0:row r="348"/>
    <ns0:row r="349"/>
    <ns0:row r="350"/>
    <ns0:row r="351"/>
    <ns0:row r="352"/>
    <ns0:row r="353"/>
    <ns0:row r="354"/>
    <ns0:row r="355"/>
    <ns0:row r="356"/>
    <ns0:row r="357"/>
    <ns0:row r="358"/>
    <ns0:row r="359"/>
    <ns0:row r="360"/>
    <ns0:row r="361"/>
    <ns0:row r="362"/>
    <ns0:row r="363"/>
    <ns0:row r="364"/>
    <ns0:row r="365"/>
    <ns0:row r="366"/>
    <ns0:row r="367"/>
    <ns0:row r="368"/>
    <ns0:row r="369"/>
    <ns0:row r="370"/>
    <ns0:row r="371"/>
    <ns0:row r="372"/>
    <ns0:row r="373"/>
    <ns0:row r="374"/>
    <ns0:row r="375"/>
    <ns0:row r="376"/>
    <ns0:row r="377"/>
    <ns0:row r="378"/>
    <ns0:row r="379"/>
    <ns0:row r="380"/>
    <ns0:row r="381"/>
    <ns0:row r="382"/>
    <ns0:row r="383"/>
    <ns0:row r="384"/>
    <ns0:row r="385"/>
    <ns0:row r="386"/>
    <ns0:row r="387"/>
    <ns0:row r="388"/>
    <ns0:row r="389"/>
    <ns0:row r="390"/>
    <ns0:row r="391"/>
    <ns0:row r="392"/>
    <ns0:row r="393"/>
    <ns0:row r="394"/>
    <ns0:row r="395"/>
    <ns0:row r="396"/>
    <ns0:row r="397"/>
    <ns0:row r="398"/>
    <ns0:row r="399"/>
    <ns0:row r="400"/>
    <ns0:row r="401"/>
    <ns0:row r="402"/>
    <ns0:row r="403"/>
    <ns0:row r="404"/>
    <ns0:row r="405"/>
    <ns0:row r="406"/>
    <ns0:row r="407"/>
    <ns0:row r="408"/>
    <ns0:row r="409"/>
    <ns0:row r="410"/>
    <ns0:row r="411"/>
    <ns0:row r="412"/>
    <ns0:row r="413"/>
    <ns0:row r="414"/>
    <ns0:row r="415"/>
    <ns0:row r="416"/>
    <ns0:row r="417"/>
    <ns0:row r="418"/>
    <ns0:row r="419"/>
    <ns0:row r="420"/>
    <ns0:row r="421"/>
    <ns0:row r="422"/>
    <ns0:row r="423"/>
    <ns0:row r="424"/>
    <ns0:row r="425"/>
    <ns0:row r="426"/>
    <ns0:row r="427"/>
    <ns0:row r="428"/>
    <ns0:row r="429"/>
    <ns0:row r="430"/>
    <ns0:row r="431"/>
    <ns0:row r="432"/>
    <ns0:row r="433"/>
    <ns0:row r="434"/>
    <ns0:row r="435"/>
    <ns0:row r="436"/>
    <ns0:row r="437"/>
    <ns0:row r="438"/>
    <ns0:row r="439"/>
    <ns0:row r="440"/>
    <ns0:row r="441"/>
    <ns0:row r="442"/>
    <ns0:row r="443"/>
    <ns0:row r="444"/>
    <ns0:row r="445"/>
    <ns0:row r="446"/>
    <ns0:row r="447"/>
    <ns0:row r="448"/>
    <ns0:row r="449"/>
    <ns0:row r="450"/>
    <ns0:row r="451"/>
    <ns0:row r="452"/>
    <ns0:row r="453"/>
    <ns0:row r="454"/>
    <ns0:row r="455"/>
    <ns0:row r="456"/>
    <ns0:row r="457"/>
    <ns0:row r="458"/>
    <ns0:row r="459"/>
    <ns0:row r="460"/>
    <ns0:row r="461"/>
    <ns0:row r="462"/>
    <ns0:row r="463"/>
    <ns0:row r="464"/>
    <ns0:row r="465"/>
    <ns0:row r="466"/>
    <ns0:row r="467"/>
    <ns0:row r="468"/>
    <ns0:row r="469"/>
    <ns0:row r="470"/>
    <ns0:row r="471"/>
    <ns0:row r="472"/>
    <ns0:row r="473"/>
    <ns0:row r="474"/>
    <ns0:row r="475"/>
    <ns0:row r="476"/>
    <ns0:row r="477"/>
    <ns0:row r="478"/>
    <ns0:row r="479"/>
    <ns0:row r="480"/>
    <ns0:row r="481"/>
    <ns0:row r="482"/>
    <ns0:row r="483"/>
    <ns0:row r="484"/>
    <ns0:row r="485"/>
    <ns0:row r="486"/>
    <ns0:row r="487"/>
    <ns0:row r="488"/>
    <ns0:row r="489"/>
    <ns0:row r="490"/>
    <ns0:row r="491"/>
    <ns0:row r="492"/>
    <ns0:row r="493"/>
    <ns0:row r="494"/>
    <ns0:row r="495"/>
    <ns0:row r="496"/>
    <ns0:row r="497"/>
    <ns0:row r="498"/>
    <ns0:row r="499"/>
    <ns0:row r="500"/>
    <ns0:row r="501"/>
    <ns0:row r="502"/>
    <ns0:row r="503"/>
    <ns0:row r="504"/>
    <ns0:row r="505"/>
    <ns0:row r="506"/>
    <ns0:row r="507"/>
    <ns0:row r="508"/>
    <ns0:row r="509"/>
    <ns0:row r="510"/>
    <ns0:row r="511"/>
    <ns0:row r="512"/>
    <ns0:row r="513"/>
    <ns0:row r="514"/>
    <ns0:row r="515"/>
    <ns0:row r="516"/>
    <ns0:row r="517"/>
    <ns0:row r="518"/>
    <ns0:row r="519"/>
    <ns0:row r="520"/>
    <ns0:row r="521"/>
    <ns0:row r="522"/>
    <ns0:row r="523"/>
    <ns0:row r="524"/>
    <ns0:row r="525"/>
    <ns0:row r="526"/>
    <ns0:row r="527"/>
    <ns0:row r="528"/>
    <ns0:row r="529"/>
    <ns0:row r="530"/>
    <ns0:row r="531"/>
    <ns0:row r="532"/>
    <ns0:row r="533"/>
    <ns0:row r="534"/>
    <ns0:row r="535"/>
    <ns0:row r="536"/>
    <ns0:row r="537"/>
    <ns0:row r="538"/>
    <ns0:row r="539"/>
    <ns0:row r="540"/>
    <ns0:row r="541"/>
    <ns0:row r="542"/>
    <ns0:row r="543"/>
    <ns0:row r="544"/>
    <ns0:row r="545"/>
    <ns0:row r="546"/>
    <ns0:row r="547"/>
    <ns0:row r="548"/>
    <ns0:row r="549"/>
    <ns0:row r="550"/>
    <ns0:row r="551"/>
    <ns0:row r="552"/>
    <ns0:row r="553"/>
    <ns0:row r="554"/>
    <ns0:row r="555"/>
    <ns0:row r="556"/>
    <ns0:row r="557"/>
    <ns0:row r="558"/>
    <ns0:row r="559"/>
    <ns0:row r="560"/>
    <ns0:row r="561"/>
    <ns0:row r="562"/>
    <ns0:row r="563"/>
    <ns0:row r="564"/>
    <ns0:row r="565"/>
    <ns0:row r="566"/>
    <ns0:row r="567"/>
    <ns0:row r="568"/>
    <ns0:row r="569"/>
    <ns0:row r="570"/>
    <ns0:row r="571"/>
    <ns0:row r="572"/>
    <ns0:row r="573"/>
    <ns0:row r="574"/>
    <ns0:row r="575"/>
    <ns0:row r="576"/>
    <ns0:row r="577"/>
    <ns0:row r="578"/>
    <ns0:row r="579"/>
    <ns0:row r="580"/>
    <ns0:row r="581"/>
    <ns0:row r="582"/>
    <ns0:row r="583"/>
    <ns0:row r="584"/>
    <ns0:row r="585"/>
    <ns0:row r="586"/>
    <ns0:row r="587"/>
    <ns0:row r="588"/>
    <ns0:row r="589"/>
    <ns0:row r="590"/>
    <ns0:row r="591"/>
    <ns0:row r="592"/>
    <ns0:row r="593"/>
    <ns0:row r="594"/>
    <ns0:row r="595"/>
    <ns0:row r="596"/>
    <ns0:row r="597"/>
    <ns0:row r="598"/>
    <ns0:row r="599"/>
    <ns0:row r="600"/>
    <ns0:row r="601"/>
    <ns0:row r="602"/>
    <ns0:row r="603"/>
    <ns0:row r="604"/>
    <ns0:row r="605"/>
    <ns0:row r="606"/>
    <ns0:row r="607"/>
    <ns0:row r="608"/>
    <ns0:row r="609"/>
    <ns0:row r="610"/>
    <ns0:row r="611"/>
    <ns0:row r="612"/>
    <ns0:row r="613"/>
    <ns0:row r="614"/>
    <ns0:row r="615"/>
    <ns0:row r="616"/>
    <ns0:row r="617"/>
    <ns0:row r="618"/>
    <ns0:row r="619"/>
    <ns0:row r="620"/>
    <ns0:row r="621"/>
    <ns0:row r="622"/>
    <ns0:row r="623"/>
    <ns0:row r="624"/>
    <ns0:row r="625"/>
    <ns0:row r="626"/>
    <ns0:row r="627"/>
    <ns0:row r="628"/>
    <ns0:row r="629"/>
    <ns0:row r="630"/>
    <ns0:row r="631"/>
    <ns0:row r="632"/>
    <ns0:row r="633"/>
    <ns0:row r="634"/>
    <ns0:row r="635"/>
    <ns0:row r="636"/>
    <ns0:row r="637"/>
    <ns0:row r="638"/>
    <ns0:row r="639"/>
    <ns0:row r="640"/>
    <ns0:row r="641"/>
    <ns0:row r="642"/>
    <ns0:row r="643"/>
    <ns0:row r="644"/>
    <ns0:row r="645"/>
    <ns0:row r="646"/>
    <ns0:row r="647"/>
    <ns0:row r="648"/>
    <ns0:row r="649"/>
    <ns0:row r="650"/>
    <ns0:row r="651"/>
    <ns0:row r="652"/>
    <ns0:row r="653"/>
    <ns0:row r="654"/>
    <ns0:row r="655"/>
    <ns0:row r="656"/>
    <ns0:row r="657"/>
    <ns0:row r="658"/>
    <ns0:row r="659"/>
    <ns0:row r="660"/>
    <ns0:row r="661"/>
    <ns0:row r="662"/>
    <ns0:row r="663"/>
    <ns0:row r="664"/>
    <ns0:row r="665"/>
    <ns0:row r="666"/>
    <ns0:row r="667"/>
    <ns0:row r="668"/>
    <ns0:row r="669"/>
    <ns0:row r="670"/>
    <ns0:row r="671"/>
    <ns0:row r="672"/>
    <ns0:row r="673"/>
    <ns0:row r="674"/>
    <ns0:row r="675"/>
    <ns0:row r="676"/>
    <ns0:row r="677"/>
    <ns0:row r="678"/>
    <ns0:row r="679"/>
    <ns0:row r="680"/>
    <ns0:row r="681"/>
    <ns0:row r="682"/>
    <ns0:row r="683"/>
    <ns0:row r="684"/>
    <ns0:row r="685"/>
    <ns0:row r="686"/>
    <ns0:row r="687"/>
    <ns0:row r="688"/>
    <ns0:row r="689"/>
    <ns0:row r="690"/>
    <ns0:row r="691"/>
    <ns0:row r="692"/>
    <ns0:row r="693"/>
    <ns0:row r="694"/>
    <ns0:row r="695"/>
    <ns0:row r="696"/>
    <ns0:row r="697"/>
    <ns0:row r="698"/>
    <ns0:row r="699"/>
    <ns0:row r="700"/>
    <ns0:row r="701"/>
    <ns0:row r="702"/>
    <ns0:row r="703"/>
    <ns0:row r="704"/>
    <ns0:row r="705"/>
    <ns0:row r="706"/>
    <ns0:row r="707"/>
    <ns0:row r="708"/>
    <ns0:row r="709"/>
    <ns0:row r="710"/>
    <ns0:row r="711"/>
    <ns0:row r="712"/>
    <ns0:row r="713"/>
    <ns0:row r="714"/>
    <ns0:row r="715"/>
    <ns0:row r="716"/>
    <ns0:row r="717"/>
    <ns0:row r="718"/>
    <ns0:row r="719"/>
    <ns0:row r="720"/>
    <ns0:row r="721"/>
    <ns0:row r="722"/>
    <ns0:row r="723"/>
    <ns0:row r="724"/>
    <ns0:row r="725"/>
    <ns0:row r="726"/>
    <ns0:row r="727"/>
    <ns0:row r="728"/>
    <ns0:row r="729"/>
    <ns0:row r="730"/>
    <ns0:row r="731"/>
    <ns0:row r="732"/>
    <ns0:row r="733"/>
    <ns0:row r="734"/>
    <ns0:row r="735"/>
    <ns0:row r="736"/>
    <ns0:row r="737"/>
    <ns0:row r="738"/>
    <ns0:row r="739"/>
    <ns0:row r="740"/>
    <ns0:row r="741"/>
    <ns0:row r="742"/>
    <ns0:row r="743"/>
    <ns0:row r="744"/>
    <ns0:row r="745"/>
    <ns0:row r="746"/>
    <ns0:row r="747"/>
    <ns0:row r="748"/>
    <ns0:row r="749"/>
    <ns0:row r="750"/>
    <ns0:row r="751"/>
    <ns0:row r="752"/>
    <ns0:row r="753"/>
    <ns0:row r="754"/>
    <ns0:row r="755"/>
    <ns0:row r="756"/>
    <ns0:row r="757"/>
    <ns0:row r="758"/>
    <ns0:row r="759"/>
    <ns0:row r="760"/>
    <ns0:row r="761"/>
    <ns0:row r="762"/>
    <ns0:row r="763"/>
    <ns0:row r="764"/>
    <ns0:row r="765"/>
    <ns0:row r="766"/>
    <ns0:row r="767"/>
    <ns0:row r="768"/>
    <ns0:row r="769"/>
    <ns0:row r="770"/>
    <ns0:row r="771"/>
    <ns0:row r="772"/>
    <ns0:row r="773"/>
    <ns0:row r="774"/>
    <ns0:row r="775"/>
    <ns0:row r="776"/>
    <ns0:row r="777"/>
    <ns0:row r="778"/>
    <ns0:row r="779"/>
    <ns0:row r="780"/>
    <ns0:row r="781"/>
    <ns0:row r="782"/>
    <ns0:row r="783"/>
    <ns0:row r="784"/>
    <ns0:row r="785"/>
    <ns0:row r="786"/>
    <ns0:row r="787"/>
    <ns0:row r="788"/>
    <ns0:row r="789"/>
    <ns0:row r="790"/>
    <ns0:row r="791"/>
    <ns0:row r="792"/>
    <ns0:row r="793"/>
    <ns0:row r="794"/>
    <ns0:row r="795"/>
    <ns0:row r="796"/>
    <ns0:row r="797"/>
    <ns0:row r="798"/>
    <ns0:row r="799"/>
    <ns0:row r="800"/>
    <ns0:row r="801"/>
    <ns0:row r="802"/>
    <ns0:row r="803"/>
    <ns0:row r="804"/>
    <ns0:row r="805"/>
    <ns0:row r="806"/>
    <ns0:row r="807"/>
    <ns0:row r="808"/>
    <ns0:row r="809"/>
    <ns0:row r="810"/>
    <ns0:row r="811"/>
    <ns0:row r="812"/>
    <ns0:row r="813"/>
    <ns0:row r="814"/>
    <ns0:row r="815"/>
    <ns0:row r="816"/>
    <ns0:row r="817"/>
    <ns0:row r="818"/>
    <ns0:row r="819"/>
    <ns0:row r="820"/>
    <ns0:row r="821"/>
    <ns0:row r="822"/>
    <ns0:row r="823"/>
    <ns0:row r="824"/>
    <ns0:row r="825"/>
    <ns0:row r="826"/>
    <ns0:row r="827"/>
    <ns0:row r="828"/>
    <ns0:row r="829"/>
    <ns0:row r="830"/>
    <ns0:row r="831"/>
    <ns0:row r="832"/>
    <ns0:row r="833"/>
    <ns0:row r="834"/>
    <ns0:row r="835"/>
    <ns0:row r="836"/>
    <ns0:row r="837"/>
    <ns0:row r="838"/>
    <ns0:row r="839"/>
    <ns0:row r="840"/>
    <ns0:row r="841"/>
    <ns0:row r="842"/>
    <ns0:row r="843"/>
    <ns0:row r="844"/>
    <ns0:row r="845"/>
    <ns0:row r="846"/>
    <ns0:row r="847"/>
    <ns0:row r="848"/>
    <ns0:row r="849"/>
    <ns0:row r="850"/>
    <ns0:row r="851"/>
    <ns0:row r="852"/>
    <ns0:row r="853"/>
    <ns0:row r="854"/>
    <ns0:row r="855"/>
    <ns0:row r="856"/>
    <ns0:row r="857"/>
    <ns0:row r="858"/>
    <ns0:row r="859"/>
    <ns0:row r="860"/>
    <ns0:row r="861"/>
    <ns0:row r="862"/>
    <ns0:row r="863"/>
    <ns0:row r="864"/>
    <ns0:row r="865"/>
    <ns0:row r="866"/>
    <ns0:row r="867"/>
    <ns0:row r="868"/>
    <ns0:row r="869"/>
    <ns0:row r="870"/>
    <ns0:row r="871"/>
    <ns0:row r="872"/>
    <ns0:row r="873"/>
    <ns0:row r="874"/>
    <ns0:row r="875"/>
    <ns0:row r="876"/>
    <ns0:row r="877"/>
    <ns0:row r="878"/>
    <ns0:row r="879"/>
    <ns0:row r="880"/>
    <ns0:row r="881"/>
    <ns0:row r="882"/>
    <ns0:row r="883"/>
    <ns0:row r="884"/>
    <ns0:row r="885"/>
    <ns0:row r="886"/>
    <ns0:row r="887"/>
    <ns0:row r="888"/>
    <ns0:row r="889"/>
    <ns0:row r="890"/>
    <ns0:row r="891"/>
    <ns0:row r="892"/>
    <ns0:row r="893"/>
    <ns0:row r="894"/>
    <ns0:row r="895"/>
    <ns0:row r="896"/>
    <ns0:row r="897"/>
    <ns0:row r="898"/>
    <ns0:row r="899"/>
    <ns0:row r="900"/>
    <ns0:row r="901"/>
    <ns0:row r="902"/>
    <ns0:row r="903"/>
    <ns0:row r="904"/>
    <ns0:row r="905"/>
    <ns0:row r="906"/>
    <ns0:row r="907"/>
    <ns0:row r="908"/>
    <ns0:row r="909"/>
    <ns0:row r="910"/>
    <ns0:row r="911"/>
    <ns0:row r="912"/>
    <ns0:row r="913"/>
    <ns0:row r="914"/>
    <ns0:row r="915"/>
    <ns0:row r="916"/>
    <ns0:row r="917"/>
    <ns0:row r="918"/>
    <ns0:row r="919"/>
    <ns0:row r="920"/>
    <ns0:row r="921"/>
    <ns0:row r="922"/>
    <ns0:row r="923"/>
    <ns0:row r="924"/>
    <ns0:row r="925"/>
    <ns0:row r="926"/>
    <ns0:row r="927"/>
    <ns0:row r="928"/>
    <ns0:row r="929"/>
    <ns0:row r="930"/>
    <ns0:row r="931"/>
    <ns0:row r="932"/>
    <ns0:row r="933"/>
    <ns0:row r="934"/>
    <ns0:row r="935"/>
    <ns0:row r="936"/>
    <ns0:row r="937"/>
    <ns0:row r="938"/>
    <ns0:row r="939"/>
    <ns0:row r="940"/>
    <ns0:row r="941"/>
    <ns0:row r="942"/>
    <ns0:row r="943"/>
    <ns0:row r="944"/>
    <ns0:row r="945"/>
    <ns0:row r="946"/>
    <ns0:row r="947"/>
    <ns0:row r="948"/>
    <ns0:row r="949"/>
    <ns0:row r="950"/>
    <ns0:row r="951"/>
    <ns0:row r="952"/>
    <ns0:row r="953"/>
    <ns0:row r="954"/>
    <ns0:row r="955"/>
    <ns0:row r="956"/>
    <ns0:row r="957"/>
    <ns0:row r="958"/>
    <ns0:row r="959"/>
    <ns0:row r="960"/>
    <ns0:row r="961"/>
    <ns0:row r="962"/>
    <ns0:row r="963"/>
    <ns0:row r="964"/>
    <ns0:row r="965"/>
    <ns0:row r="966"/>
    <ns0:row r="967"/>
    <ns0:row r="968"/>
    <ns0:row r="969"/>
    <ns0:row r="970"/>
    <ns0:row r="971"/>
    <ns0:row r="972"/>
    <ns0:row r="973"/>
    <ns0:row r="974"/>
    <ns0:row r="975"/>
    <ns0:row r="976"/>
    <ns0:row r="977"/>
    <ns0:row r="978"/>
    <ns0:row r="979"/>
    <ns0:row r="980"/>
    <ns0:row r="981"/>
    <ns0:row r="982"/>
    <ns0:row r="983"/>
    <ns0:row r="984"/>
    <ns0:row r="985"/>
    <ns0:row r="986"/>
    <ns0:row r="987"/>
    <ns0:row r="988"/>
    <ns0:row r="989"/>
    <ns0:row r="990"/>
    <ns0:row r="991"/>
    <ns0:row r="992"/>
    <ns0:row r="993"/>
    <ns0:row r="994"/>
    <ns0:row r="995"/>
    <ns0:row r="996"/>
    <ns0:row r="997"/>
    <ns0:row r="998"/>
    <ns0:row r="999"/>
    <ns0:row r="1000"/>
    <ns0:row r="1001"/>
    <ns0:row r="1002"/>
    <ns0:row r="1003"/>
  </ns0:sheetData>
  <ns0:mergeCells count="1">
    <ns0:mergeCell ref="D2:G2"/>
  </ns0:mergeCells>
  <ns0:printOptions/>
  <ns0:pageMargins bottom="0.75" footer="0.0" header="0.0" left="0.0" right="0.0" top="0.75"/>
  <ns0:pageSetup fitToHeight="0" orientation="landscape"/>
  <ns0:headerFooter>
    <ns0:oddHeader>&amp;L02.13.26&amp;CPAYROLL FOR A PERIOOD ENDED 02.06.2026</ns0:oddHeader>
  </ns0:headerFooter>
  <ns0:drawing ns1:id="rId1"/>
</ns0: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7" t="s">
        <v>69</v>
      </c>
      <c r="B1" s="167" t="s">
        <v>70</v>
      </c>
      <c r="C1" s="167" t="s">
        <v>71</v>
      </c>
    </row>
    <row r="2">
      <c r="A2" s="167" t="s">
        <v>72</v>
      </c>
      <c r="B2" s="167" t="s">
        <v>73</v>
      </c>
      <c r="C2" s="168">
        <v>1.6666666666666667</v>
      </c>
    </row>
    <row r="3">
      <c r="A3" s="167" t="s">
        <v>74</v>
      </c>
      <c r="B3" s="167" t="s">
        <v>73</v>
      </c>
      <c r="C3" s="168">
        <v>1.1041666666666667</v>
      </c>
    </row>
    <row r="4">
      <c r="A4" s="167" t="s">
        <v>75</v>
      </c>
      <c r="B4" s="167" t="s">
        <v>73</v>
      </c>
      <c r="C4" s="169">
        <v>0.16666666666666666</v>
      </c>
    </row>
    <row r="5">
      <c r="A5" s="167" t="s">
        <v>75</v>
      </c>
      <c r="B5" s="167" t="s">
        <v>76</v>
      </c>
      <c r="C5" s="169">
        <v>0.75</v>
      </c>
    </row>
    <row r="6">
      <c r="A6" s="167" t="s">
        <v>77</v>
      </c>
      <c r="B6" s="167" t="s">
        <v>76</v>
      </c>
      <c r="C6" s="169">
        <v>0.25</v>
      </c>
    </row>
    <row r="7">
      <c r="A7" s="167" t="s">
        <v>77</v>
      </c>
      <c r="B7" s="167" t="s">
        <v>73</v>
      </c>
      <c r="C7" s="169">
        <v>0.4375</v>
      </c>
      <c r="F7" s="170"/>
      <c r="H7" s="170"/>
      <c r="K7" s="169"/>
      <c r="S7" s="169"/>
    </row>
    <row r="8">
      <c r="A8" s="167" t="s">
        <v>78</v>
      </c>
      <c r="B8" s="167" t="s">
        <v>36</v>
      </c>
      <c r="C8" s="169">
        <v>0.3958333333333333</v>
      </c>
    </row>
    <row r="9">
      <c r="A9" s="167" t="s">
        <v>78</v>
      </c>
      <c r="B9" s="167" t="s">
        <v>79</v>
      </c>
      <c r="C9" s="169">
        <v>0.5</v>
      </c>
    </row>
    <row r="10">
      <c r="A10" s="167" t="s">
        <v>78</v>
      </c>
      <c r="B10" s="167" t="s">
        <v>76</v>
      </c>
      <c r="C10" s="169">
        <v>0.0625</v>
      </c>
    </row>
    <row r="11">
      <c r="A11" s="167" t="s">
        <v>80</v>
      </c>
      <c r="B11" s="167" t="s">
        <v>73</v>
      </c>
      <c r="C11" s="169">
        <v>0.4375</v>
      </c>
      <c r="F11" s="170"/>
      <c r="H11" s="170"/>
      <c r="K11" s="169"/>
      <c r="S11" s="169"/>
    </row>
    <row r="12">
      <c r="A12" s="167" t="s">
        <v>81</v>
      </c>
      <c r="B12" s="167" t="s">
        <v>73</v>
      </c>
      <c r="C12" s="168">
        <v>1.0625</v>
      </c>
    </row>
    <row r="13">
      <c r="A13" s="167" t="s">
        <v>24</v>
      </c>
      <c r="B13" s="167" t="s">
        <v>79</v>
      </c>
      <c r="C13" s="169">
        <v>0.2916666666666667</v>
      </c>
      <c r="F13" s="170"/>
      <c r="H13" s="170"/>
      <c r="K13" s="169"/>
      <c r="S13" s="169"/>
    </row>
    <row r="14">
      <c r="A14" s="167" t="s">
        <v>24</v>
      </c>
      <c r="B14" s="167" t="s">
        <v>76</v>
      </c>
      <c r="C14" s="168">
        <v>1.1145833333333333</v>
      </c>
    </row>
    <row r="15">
      <c r="A15" s="167" t="s">
        <v>82</v>
      </c>
      <c r="B15" s="167" t="s">
        <v>79</v>
      </c>
      <c r="C15" s="169">
        <v>0.25</v>
      </c>
      <c r="F15" s="170"/>
      <c r="H15" s="170"/>
      <c r="K15" s="169"/>
      <c r="S15" s="169"/>
    </row>
    <row r="16">
      <c r="A16" s="167" t="s">
        <v>82</v>
      </c>
      <c r="B16" s="167" t="s">
        <v>76</v>
      </c>
      <c r="C16" s="168">
        <v>1.1354166666666667</v>
      </c>
    </row>
    <row r="17">
      <c r="A17" s="167" t="s">
        <v>83</v>
      </c>
      <c r="B17" s="167" t="s">
        <v>79</v>
      </c>
      <c r="C17" s="169">
        <v>0.6145833333333334</v>
      </c>
      <c r="F17" s="170"/>
      <c r="H17" s="170"/>
      <c r="K17" s="169"/>
    </row>
    <row r="18">
      <c r="A18" s="167" t="s">
        <v>83</v>
      </c>
      <c r="B18" s="167" t="s">
        <v>76</v>
      </c>
      <c r="C18" s="169">
        <v>0.75</v>
      </c>
    </row>
    <row r="19">
      <c r="A19" s="167" t="s">
        <v>84</v>
      </c>
      <c r="B19" s="167" t="s">
        <v>76</v>
      </c>
      <c r="C19" s="169">
        <v>0.7395833333333334</v>
      </c>
      <c r="S19" s="169"/>
    </row>
    <row r="20">
      <c r="A20" s="167" t="s">
        <v>85</v>
      </c>
      <c r="B20" s="167" t="s">
        <v>76</v>
      </c>
      <c r="C20" s="168">
        <v>1.1041666666666667</v>
      </c>
    </row>
    <row r="21">
      <c r="A21" s="167" t="s">
        <v>85</v>
      </c>
      <c r="B21" s="167" t="s">
        <v>79</v>
      </c>
      <c r="C21" s="169">
        <v>0.3333333333333333</v>
      </c>
      <c r="K21" s="168"/>
      <c r="S21" s="168"/>
    </row>
    <row r="22">
      <c r="A22" s="167" t="s">
        <v>86</v>
      </c>
      <c r="B22" s="167" t="s">
        <v>76</v>
      </c>
      <c r="C22" s="168">
        <v>1.6666666666666667</v>
      </c>
    </row>
    <row r="23">
      <c r="A23" s="167" t="s">
        <v>87</v>
      </c>
      <c r="B23" s="167" t="s">
        <v>76</v>
      </c>
      <c r="C23" s="169">
        <v>0.4583333333333333</v>
      </c>
    </row>
    <row r="24">
      <c r="A24" s="167" t="s">
        <v>87</v>
      </c>
      <c r="B24" s="167" t="s">
        <v>79</v>
      </c>
      <c r="C24" s="169">
        <v>0.20833333333333334</v>
      </c>
    </row>
    <row r="25">
      <c r="A25" s="167" t="s">
        <v>88</v>
      </c>
      <c r="B25" s="167" t="s">
        <v>76</v>
      </c>
      <c r="C25" s="168">
        <v>1.0520833333333333</v>
      </c>
      <c r="D25" s="168"/>
      <c r="E25" s="168"/>
    </row>
    <row r="26">
      <c r="A26" s="167" t="s">
        <v>89</v>
      </c>
      <c r="B26" s="167" t="s">
        <v>76</v>
      </c>
      <c r="C26" s="169">
        <v>0.7916666666666666</v>
      </c>
    </row>
    <row r="27">
      <c r="A27" s="167" t="s">
        <v>90</v>
      </c>
      <c r="B27" s="167" t="s">
        <v>76</v>
      </c>
      <c r="C27" s="168">
        <v>1.375</v>
      </c>
    </row>
    <row r="28">
      <c r="A28" s="167" t="s">
        <v>90</v>
      </c>
      <c r="B28" s="167" t="s">
        <v>79</v>
      </c>
      <c r="C28" s="169">
        <v>0.2916666666666667</v>
      </c>
    </row>
    <row r="29">
      <c r="A29" s="167" t="s">
        <v>91</v>
      </c>
      <c r="B29" s="167" t="s">
        <v>76</v>
      </c>
      <c r="C29" s="168">
        <v>1.6666666666666667</v>
      </c>
    </row>
    <row r="30">
      <c r="A30" s="167" t="s">
        <v>13</v>
      </c>
      <c r="B30" s="167" t="s">
        <v>76</v>
      </c>
      <c r="C30" s="168">
        <v>1.1770833333333333</v>
      </c>
    </row>
    <row r="31">
      <c r="A31" s="167" t="s">
        <v>92</v>
      </c>
      <c r="B31" s="167" t="s">
        <v>76</v>
      </c>
      <c r="C31" s="168">
        <v>1.3333333333333333</v>
      </c>
    </row>
    <row r="32">
      <c r="A32" s="167" t="s">
        <v>93</v>
      </c>
      <c r="B32" s="167" t="s">
        <v>79</v>
      </c>
      <c r="C32" s="169">
        <v>0.25</v>
      </c>
    </row>
    <row r="33">
      <c r="A33" s="167" t="s">
        <v>93</v>
      </c>
      <c r="B33" s="167" t="s">
        <v>76</v>
      </c>
      <c r="C33" s="168">
        <v>1.1145833333333333</v>
      </c>
    </row>
    <row r="34">
      <c r="A34" s="167" t="s">
        <v>22</v>
      </c>
      <c r="B34" s="167" t="s">
        <v>36</v>
      </c>
      <c r="C34" s="169">
        <v>0.9583333333333334</v>
      </c>
    </row>
    <row r="35">
      <c r="A35" s="167" t="s">
        <v>22</v>
      </c>
      <c r="B35" s="167" t="s">
        <v>79</v>
      </c>
      <c r="C35" s="169">
        <v>0.5625</v>
      </c>
      <c r="F35" s="170"/>
      <c r="H35" s="170"/>
      <c r="K35" s="169"/>
      <c r="S35" s="169"/>
    </row>
    <row r="36">
      <c r="A36" s="167" t="s">
        <v>26</v>
      </c>
      <c r="B36" s="167" t="s">
        <v>76</v>
      </c>
      <c r="C36" s="169">
        <v>0.25</v>
      </c>
    </row>
    <row r="37">
      <c r="A37" s="167" t="s">
        <v>46</v>
      </c>
      <c r="B37" s="167" t="s">
        <v>76</v>
      </c>
      <c r="C37" s="169">
        <v>0.6458333333333334</v>
      </c>
      <c r="F37" s="170"/>
      <c r="H37" s="170"/>
      <c r="K37" s="169"/>
      <c r="S37" s="169"/>
    </row>
    <row r="38">
      <c r="A38" s="167" t="s">
        <v>46</v>
      </c>
      <c r="B38" s="167" t="s">
        <v>79</v>
      </c>
      <c r="C38" s="168">
        <v>1.0208333333333333</v>
      </c>
    </row>
    <row r="39">
      <c r="A39" s="167" t="s">
        <v>94</v>
      </c>
      <c r="B39" s="167" t="s">
        <v>79</v>
      </c>
      <c r="C39" s="169">
        <v>0.4375</v>
      </c>
      <c r="F39" s="170"/>
      <c r="H39" s="170"/>
      <c r="K39" s="169"/>
      <c r="S39" s="169"/>
    </row>
    <row r="40">
      <c r="A40" s="167" t="s">
        <v>94</v>
      </c>
      <c r="B40" s="167" t="s">
        <v>36</v>
      </c>
      <c r="C40" s="169">
        <v>0.6041666666666666</v>
      </c>
    </row>
    <row r="41">
      <c r="A41" s="167" t="s">
        <v>94</v>
      </c>
      <c r="B41" s="167" t="s">
        <v>76</v>
      </c>
      <c r="C41" s="169">
        <v>0.3125</v>
      </c>
      <c r="F41" s="170"/>
      <c r="H41" s="170"/>
      <c r="K41" s="169"/>
      <c r="S41" s="169"/>
    </row>
    <row r="44">
      <c r="K44" s="168"/>
      <c r="S44" s="168"/>
    </row>
    <row r="48">
      <c r="D48" s="168"/>
      <c r="E48" s="168"/>
    </row>
    <row r="55">
      <c r="C55" s="171"/>
      <c r="F55" s="170"/>
      <c r="H55" s="170"/>
      <c r="K55" s="169"/>
      <c r="S55" s="169"/>
    </row>
    <row r="57">
      <c r="C57" s="171"/>
    </row>
    <row r="58">
      <c r="C58" s="171"/>
    </row>
    <row r="59">
      <c r="C59" s="171"/>
    </row>
    <row r="60">
      <c r="C60" s="171"/>
      <c r="F60" s="170"/>
      <c r="H60" s="170"/>
      <c r="K60" s="169"/>
      <c r="S60" s="169"/>
    </row>
    <row r="62">
      <c r="C62" s="171"/>
      <c r="F62" s="170"/>
      <c r="H62" s="170"/>
      <c r="K62" s="169"/>
      <c r="S62" s="169"/>
    </row>
    <row r="64">
      <c r="C64" s="171"/>
    </row>
    <row r="66">
      <c r="K66" s="169"/>
      <c r="S66" s="169"/>
    </row>
    <row r="70">
      <c r="D70" s="169"/>
      <c r="E70" s="169"/>
    </row>
    <row r="71">
      <c r="D71" s="169"/>
    </row>
    <row r="78">
      <c r="C78" s="171"/>
    </row>
    <row r="79">
      <c r="C79" s="171"/>
    </row>
    <row r="80">
      <c r="C80" s="171"/>
    </row>
    <row r="81">
      <c r="C81" s="171"/>
    </row>
    <row r="82">
      <c r="C82" s="171"/>
      <c r="F82" s="170"/>
      <c r="H82" s="170"/>
      <c r="K82" s="169"/>
      <c r="S82" s="169"/>
    </row>
    <row r="84">
      <c r="C84" s="171"/>
      <c r="F84" s="170"/>
      <c r="H84" s="170"/>
      <c r="K84" s="169"/>
      <c r="S84" s="169"/>
    </row>
    <row r="86">
      <c r="C86" s="171"/>
    </row>
    <row r="88">
      <c r="K88" s="169"/>
      <c r="S88" s="169"/>
    </row>
    <row r="92">
      <c r="D92" s="169"/>
      <c r="E92" s="169"/>
    </row>
    <row r="93">
      <c r="D93" s="169"/>
    </row>
    <row r="100">
      <c r="C100" s="171"/>
    </row>
    <row r="101">
      <c r="C101" s="171"/>
    </row>
    <row r="102">
      <c r="C102" s="171"/>
    </row>
    <row r="103">
      <c r="C103" s="171"/>
    </row>
    <row r="104">
      <c r="C104" s="171"/>
      <c r="F104" s="170"/>
      <c r="H104" s="170"/>
    </row>
    <row r="106">
      <c r="F106" s="170"/>
      <c r="H106" s="170"/>
      <c r="K106" s="169"/>
      <c r="S106" s="169"/>
    </row>
    <row r="108">
      <c r="C108" s="171"/>
      <c r="F108" s="170"/>
      <c r="H108" s="170"/>
    </row>
    <row r="110">
      <c r="F110" s="170"/>
      <c r="H110" s="170"/>
      <c r="K110" s="169"/>
      <c r="S110" s="169"/>
    </row>
    <row r="112">
      <c r="C112" s="171"/>
      <c r="F112" s="170"/>
      <c r="H112" s="170"/>
    </row>
    <row r="114">
      <c r="F114" s="170"/>
      <c r="H114" s="170"/>
      <c r="K114" s="169"/>
      <c r="S114" s="169"/>
    </row>
    <row r="117">
      <c r="K117" s="169"/>
      <c r="S117" s="169"/>
    </row>
    <row r="121">
      <c r="D121" s="169"/>
      <c r="E121" s="169"/>
    </row>
    <row r="122">
      <c r="D122" s="169"/>
    </row>
    <row r="123">
      <c r="D123" s="169"/>
    </row>
    <row r="130">
      <c r="C130" s="171"/>
    </row>
    <row r="131">
      <c r="C131" s="171"/>
    </row>
    <row r="132">
      <c r="C132" s="171"/>
    </row>
    <row r="133">
      <c r="C133" s="171"/>
    </row>
    <row r="134">
      <c r="C134" s="171"/>
    </row>
    <row r="135">
      <c r="C135" s="171"/>
      <c r="F135" s="170"/>
      <c r="H135" s="170"/>
      <c r="K135" s="169"/>
      <c r="S135" s="169"/>
    </row>
    <row r="137">
      <c r="C137" s="171"/>
    </row>
    <row r="139">
      <c r="K139" s="169"/>
      <c r="S139" s="169"/>
    </row>
    <row r="143">
      <c r="D143" s="169"/>
      <c r="E143" s="169"/>
    </row>
    <row r="150">
      <c r="C150" s="171"/>
      <c r="F150" s="170"/>
      <c r="H150" s="170"/>
      <c r="K150" s="169"/>
      <c r="S150" s="169"/>
    </row>
    <row r="152">
      <c r="C152" s="171"/>
    </row>
    <row r="153">
      <c r="C153" s="171"/>
    </row>
    <row r="154">
      <c r="C154" s="171"/>
    </row>
    <row r="155">
      <c r="C155" s="171"/>
      <c r="F155" s="170"/>
      <c r="H155" s="170"/>
      <c r="K155" s="169"/>
      <c r="S155" s="169"/>
    </row>
    <row r="157">
      <c r="C157" s="171"/>
      <c r="F157" s="170"/>
      <c r="H157" s="170"/>
      <c r="K157" s="169"/>
      <c r="S157" s="169"/>
    </row>
    <row r="159">
      <c r="C159" s="171"/>
      <c r="F159" s="170"/>
      <c r="H159" s="170"/>
      <c r="K159" s="169"/>
      <c r="S159" s="169"/>
    </row>
    <row r="162">
      <c r="K162" s="168"/>
      <c r="S162" s="168"/>
    </row>
    <row r="166">
      <c r="D166" s="168"/>
      <c r="E166" s="168"/>
    </row>
    <row r="173">
      <c r="C173" s="171"/>
    </row>
    <row r="174">
      <c r="C174" s="171"/>
    </row>
    <row r="175">
      <c r="C175" s="171"/>
      <c r="F175" s="170"/>
      <c r="H175" s="170"/>
      <c r="K175" s="169"/>
      <c r="S175" s="169"/>
    </row>
    <row r="177">
      <c r="C177" s="171"/>
      <c r="F177" s="170"/>
      <c r="H177" s="170"/>
      <c r="K177" s="169"/>
      <c r="S177" s="169"/>
    </row>
    <row r="179">
      <c r="C179" s="171"/>
      <c r="F179" s="170"/>
      <c r="H179" s="170"/>
      <c r="K179" s="169"/>
      <c r="S179" s="169"/>
    </row>
    <row r="181">
      <c r="C181" s="171"/>
    </row>
    <row r="182">
      <c r="C182" s="171"/>
      <c r="F182" s="170"/>
      <c r="H182" s="170"/>
      <c r="K182" s="169"/>
      <c r="S182" s="169"/>
    </row>
    <row r="185">
      <c r="K185" s="168"/>
      <c r="S185" s="168"/>
    </row>
    <row r="189">
      <c r="D189" s="168"/>
      <c r="E189" s="168"/>
    </row>
    <row r="190">
      <c r="D190" s="169"/>
    </row>
    <row r="197">
      <c r="C197" s="171"/>
    </row>
    <row r="198">
      <c r="C198" s="171"/>
    </row>
    <row r="199">
      <c r="C199" s="171"/>
      <c r="F199" s="170"/>
      <c r="H199" s="170"/>
      <c r="K199" s="169"/>
      <c r="S199" s="169"/>
    </row>
    <row r="201">
      <c r="C201" s="171"/>
      <c r="F201" s="170"/>
      <c r="H201" s="170"/>
      <c r="K201" s="169"/>
      <c r="S201" s="169"/>
    </row>
    <row r="203">
      <c r="C203" s="171"/>
      <c r="F203" s="170"/>
      <c r="H203" s="170"/>
      <c r="K203" s="169"/>
      <c r="S203" s="169"/>
    </row>
    <row r="205">
      <c r="C205" s="171"/>
      <c r="F205" s="170"/>
      <c r="H205" s="170"/>
      <c r="K205" s="169"/>
      <c r="S205" s="169"/>
    </row>
    <row r="207">
      <c r="C207" s="171"/>
      <c r="F207" s="170"/>
      <c r="H207" s="170"/>
      <c r="K207" s="169"/>
      <c r="S207" s="169"/>
    </row>
    <row r="210">
      <c r="K210" s="168"/>
      <c r="S210" s="168"/>
    </row>
    <row r="214">
      <c r="D214" s="168"/>
      <c r="E214" s="168"/>
    </row>
    <row r="215">
      <c r="D215" s="169"/>
    </row>
    <row r="222">
      <c r="C222" s="171"/>
    </row>
    <row r="223">
      <c r="C223" s="171"/>
    </row>
    <row r="224">
      <c r="C224" s="171"/>
    </row>
    <row r="225">
      <c r="C225" s="171"/>
      <c r="F225" s="170"/>
      <c r="H225" s="170"/>
      <c r="K225" s="169"/>
      <c r="S225" s="169"/>
    </row>
    <row r="227">
      <c r="C227" s="171"/>
      <c r="F227" s="170"/>
      <c r="H227" s="170"/>
    </row>
    <row r="229">
      <c r="F229" s="170"/>
      <c r="H229" s="170"/>
      <c r="K229" s="169"/>
      <c r="S229" s="169"/>
    </row>
    <row r="231">
      <c r="C231" s="171"/>
      <c r="F231" s="170"/>
      <c r="H231" s="170"/>
      <c r="K231" s="169"/>
      <c r="S231" s="169"/>
    </row>
    <row r="233">
      <c r="C233" s="171"/>
      <c r="F233" s="170"/>
      <c r="H233" s="170"/>
      <c r="K233" s="169"/>
      <c r="S233" s="169"/>
    </row>
    <row r="236">
      <c r="K236" s="168"/>
      <c r="S236" s="168"/>
    </row>
    <row r="240">
      <c r="D240" s="169"/>
      <c r="E240" s="168"/>
    </row>
    <row r="241">
      <c r="D241" s="169"/>
    </row>
    <row r="248">
      <c r="C248" s="171"/>
    </row>
    <row r="249">
      <c r="C249" s="171"/>
    </row>
    <row r="250">
      <c r="C250" s="171"/>
    </row>
    <row r="251">
      <c r="C251" s="171"/>
    </row>
    <row r="252">
      <c r="C252" s="171"/>
      <c r="F252" s="170"/>
      <c r="H252" s="170"/>
      <c r="K252" s="169"/>
      <c r="S252" s="169"/>
    </row>
    <row r="254">
      <c r="C254" s="171"/>
      <c r="F254" s="170"/>
      <c r="H254" s="170"/>
      <c r="K254" s="169"/>
      <c r="S254" s="169"/>
    </row>
    <row r="256">
      <c r="C256" s="171"/>
      <c r="F256" s="170"/>
      <c r="H256" s="170"/>
      <c r="K256" s="169"/>
      <c r="S256" s="169"/>
    </row>
    <row r="259">
      <c r="K259" s="169"/>
      <c r="S259" s="169"/>
    </row>
    <row r="263">
      <c r="D263" s="169"/>
      <c r="E263" s="169"/>
    </row>
    <row r="270">
      <c r="C270" s="171"/>
      <c r="F270" s="170"/>
      <c r="H270" s="170"/>
      <c r="K270" s="169"/>
      <c r="S270" s="169"/>
    </row>
    <row r="272">
      <c r="C272" s="171"/>
    </row>
    <row r="273">
      <c r="C273" s="171"/>
    </row>
    <row r="274">
      <c r="C274" s="171"/>
      <c r="F274" s="170"/>
      <c r="H274" s="170"/>
      <c r="K274" s="169"/>
      <c r="S274" s="169"/>
    </row>
    <row r="276">
      <c r="C276" s="171"/>
    </row>
    <row r="277">
      <c r="C277" s="171"/>
      <c r="F277" s="170"/>
      <c r="H277" s="170"/>
      <c r="K277" s="169"/>
      <c r="S277" s="169"/>
    </row>
    <row r="279">
      <c r="C279" s="171"/>
      <c r="F279" s="170"/>
      <c r="H279" s="170"/>
      <c r="K279" s="169"/>
      <c r="S279" s="169"/>
    </row>
    <row r="282">
      <c r="K282" s="168"/>
      <c r="S282" s="168"/>
    </row>
    <row r="286">
      <c r="D286" s="168"/>
      <c r="E286" s="168"/>
    </row>
    <row r="287">
      <c r="D287" s="169"/>
    </row>
    <row r="294">
      <c r="C294" s="171"/>
      <c r="F294" s="170"/>
      <c r="H294" s="170"/>
      <c r="K294" s="169"/>
      <c r="S294" s="169"/>
    </row>
    <row r="296">
      <c r="C296" s="171"/>
    </row>
    <row r="297">
      <c r="C297" s="171"/>
    </row>
    <row r="298">
      <c r="C298" s="171"/>
      <c r="F298" s="170"/>
      <c r="H298" s="170"/>
      <c r="K298" s="169"/>
      <c r="S298" s="169"/>
    </row>
    <row r="300">
      <c r="C300" s="171"/>
      <c r="F300" s="170"/>
      <c r="H300" s="170"/>
      <c r="K300" s="169"/>
      <c r="S300" s="169"/>
    </row>
    <row r="302">
      <c r="C302" s="171"/>
      <c r="F302" s="170"/>
      <c r="H302" s="170"/>
      <c r="K302" s="169"/>
      <c r="S302" s="169"/>
    </row>
    <row r="304">
      <c r="C304" s="171"/>
      <c r="F304" s="170"/>
      <c r="H304" s="170"/>
      <c r="K304" s="169"/>
    </row>
    <row r="306">
      <c r="K306" s="168"/>
      <c r="L306" s="169"/>
      <c r="S306" s="169"/>
    </row>
    <row r="308">
      <c r="K308" s="168"/>
      <c r="L308" s="169"/>
      <c r="S308" s="168"/>
    </row>
    <row r="312">
      <c r="D312" s="168"/>
      <c r="E312" s="168"/>
    </row>
    <row r="319">
      <c r="C319" s="171"/>
    </row>
    <row r="320">
      <c r="C320" s="171"/>
    </row>
    <row r="321">
      <c r="C321" s="171"/>
    </row>
    <row r="322">
      <c r="C322" s="171"/>
    </row>
    <row r="323">
      <c r="C323" s="171"/>
    </row>
    <row r="324">
      <c r="C324" s="171"/>
      <c r="F324" s="170"/>
      <c r="H324" s="170"/>
      <c r="K324" s="169"/>
      <c r="S324" s="169"/>
    </row>
    <row r="326">
      <c r="C326" s="171"/>
      <c r="F326" s="170"/>
      <c r="H326" s="170"/>
    </row>
    <row r="328">
      <c r="F328" s="170"/>
      <c r="H328" s="170"/>
      <c r="K328" s="169"/>
      <c r="S328" s="169"/>
    </row>
    <row r="331">
      <c r="K331" s="169"/>
      <c r="S331" s="169"/>
    </row>
    <row r="335">
      <c r="D335" s="169"/>
      <c r="E335" s="169"/>
    </row>
    <row r="336">
      <c r="D336" s="169"/>
    </row>
    <row r="343">
      <c r="C343" s="171"/>
    </row>
    <row r="344">
      <c r="C344" s="171"/>
    </row>
    <row r="345">
      <c r="C345" s="171"/>
    </row>
    <row r="346">
      <c r="C346" s="171"/>
      <c r="F346" s="170"/>
      <c r="H346" s="170"/>
      <c r="K346" s="169"/>
      <c r="S346" s="169"/>
    </row>
    <row r="348">
      <c r="C348" s="171"/>
      <c r="F348" s="170"/>
      <c r="H348" s="170"/>
      <c r="K348" s="169"/>
      <c r="S348" s="169"/>
    </row>
    <row r="350">
      <c r="C350" s="171"/>
      <c r="F350" s="170"/>
      <c r="H350" s="170"/>
      <c r="K350" s="169"/>
      <c r="S350" s="169"/>
    </row>
    <row r="352">
      <c r="C352" s="171"/>
      <c r="F352" s="170"/>
      <c r="H352" s="170"/>
      <c r="K352" s="169"/>
      <c r="S352" s="169"/>
    </row>
    <row r="355">
      <c r="K355" s="168"/>
      <c r="S355" s="168"/>
    </row>
    <row r="359">
      <c r="D359" s="168"/>
      <c r="E359" s="168"/>
    </row>
    <row r="366">
      <c r="C366" s="171"/>
    </row>
    <row r="367">
      <c r="C367" s="171"/>
    </row>
    <row r="368">
      <c r="C368" s="171"/>
    </row>
    <row r="369">
      <c r="C369" s="171"/>
    </row>
    <row r="370">
      <c r="C370" s="171"/>
      <c r="F370" s="170"/>
      <c r="H370" s="170"/>
      <c r="K370" s="169"/>
      <c r="S370" s="169"/>
    </row>
    <row r="372">
      <c r="C372" s="171"/>
      <c r="F372" s="170"/>
      <c r="H372" s="170"/>
      <c r="K372" s="169"/>
      <c r="S372" s="169"/>
    </row>
    <row r="374">
      <c r="C374" s="171"/>
      <c r="F374" s="170"/>
      <c r="H374" s="170"/>
      <c r="K374" s="169"/>
      <c r="S374" s="169"/>
    </row>
    <row r="377">
      <c r="K377" s="169"/>
      <c r="S377" s="169"/>
    </row>
    <row r="381">
      <c r="D381" s="169"/>
      <c r="E381" s="169"/>
    </row>
    <row r="388">
      <c r="C388" s="171"/>
      <c r="F388" s="170"/>
      <c r="H388" s="170"/>
      <c r="K388" s="169"/>
      <c r="S388" s="169"/>
    </row>
    <row r="390">
      <c r="C390" s="171"/>
    </row>
    <row r="391">
      <c r="C391" s="171"/>
      <c r="F391" s="170"/>
      <c r="H391" s="170"/>
      <c r="K391" s="169"/>
      <c r="S391" s="169"/>
    </row>
    <row r="393">
      <c r="C393" s="171"/>
      <c r="F393" s="170"/>
      <c r="H393" s="170"/>
      <c r="K393" s="169"/>
      <c r="S393" s="169"/>
    </row>
    <row r="395">
      <c r="C395" s="171"/>
      <c r="F395" s="170"/>
      <c r="H395" s="170"/>
      <c r="K395" s="169"/>
      <c r="S395" s="169"/>
    </row>
    <row r="397">
      <c r="C397" s="171"/>
      <c r="F397" s="170"/>
      <c r="H397" s="170"/>
      <c r="K397" s="169"/>
      <c r="S397" s="169"/>
    </row>
    <row r="399">
      <c r="C399" s="171"/>
      <c r="F399" s="170"/>
      <c r="H399" s="170"/>
      <c r="K399" s="169"/>
    </row>
    <row r="401">
      <c r="K401" s="168"/>
      <c r="L401" s="169"/>
      <c r="S401" s="169"/>
    </row>
    <row r="403">
      <c r="K403" s="168"/>
      <c r="L403" s="169"/>
      <c r="S403" s="168"/>
    </row>
    <row r="407">
      <c r="D407" s="168"/>
      <c r="E407" s="168"/>
    </row>
    <row r="408">
      <c r="D408" s="169"/>
    </row>
    <row r="415">
      <c r="C415" s="171"/>
      <c r="F415" s="170"/>
      <c r="H415" s="170"/>
      <c r="K415" s="169"/>
      <c r="S415" s="169"/>
    </row>
    <row r="417">
      <c r="C417" s="171"/>
    </row>
    <row r="418">
      <c r="C418" s="171"/>
    </row>
    <row r="419">
      <c r="C419" s="171"/>
      <c r="F419" s="170"/>
      <c r="H419" s="170"/>
      <c r="K419" s="169"/>
      <c r="S419" s="169"/>
    </row>
    <row r="421">
      <c r="C421" s="171"/>
      <c r="F421" s="170"/>
      <c r="H421" s="170"/>
      <c r="K421" s="169"/>
      <c r="S421" s="169"/>
    </row>
    <row r="423">
      <c r="C423" s="171"/>
      <c r="F423" s="170"/>
      <c r="H423" s="170"/>
      <c r="K423" s="169"/>
      <c r="S423" s="169"/>
    </row>
    <row r="425">
      <c r="C425" s="171"/>
      <c r="F425" s="170"/>
      <c r="H425" s="170"/>
      <c r="K425" s="169"/>
    </row>
    <row r="427">
      <c r="K427" s="168"/>
      <c r="L427" s="169"/>
      <c r="S427" s="169"/>
    </row>
    <row r="429">
      <c r="K429" s="168"/>
      <c r="L429" s="169"/>
      <c r="S429" s="168"/>
    </row>
    <row r="433">
      <c r="D433" s="168"/>
      <c r="E433" s="168"/>
    </row>
    <row r="440">
      <c r="C440" s="171"/>
    </row>
    <row r="441">
      <c r="C441" s="171"/>
    </row>
    <row r="442">
      <c r="C442" s="171"/>
    </row>
    <row r="443">
      <c r="C443" s="171"/>
    </row>
    <row r="444">
      <c r="C444" s="171"/>
      <c r="F444" s="170"/>
      <c r="H444" s="170"/>
      <c r="K444" s="169"/>
      <c r="S444" s="169"/>
    </row>
    <row r="446">
      <c r="C446" s="171"/>
      <c r="F446" s="170"/>
      <c r="H446" s="170"/>
      <c r="K446" s="169"/>
      <c r="S446" s="169"/>
    </row>
    <row r="448">
      <c r="C448" s="171"/>
      <c r="F448" s="170"/>
      <c r="H448" s="170"/>
      <c r="K448" s="169"/>
      <c r="S448" s="169"/>
    </row>
    <row r="451">
      <c r="K451" s="168"/>
      <c r="S451" s="168"/>
    </row>
    <row r="455">
      <c r="D455" s="168"/>
      <c r="E455" s="168"/>
    </row>
    <row r="462">
      <c r="C462" s="171"/>
      <c r="F462" s="170"/>
      <c r="H462" s="170"/>
      <c r="K462" s="169"/>
      <c r="S462" s="169"/>
    </row>
    <row r="464">
      <c r="C464" s="171"/>
    </row>
    <row r="465">
      <c r="C465" s="171"/>
    </row>
    <row r="466">
      <c r="C466" s="171"/>
      <c r="F466" s="170"/>
      <c r="H466" s="170"/>
      <c r="K466" s="169"/>
      <c r="S466" s="169"/>
    </row>
    <row r="468">
      <c r="C468" s="171"/>
      <c r="F468" s="170"/>
      <c r="H468" s="170"/>
      <c r="K468" s="169"/>
      <c r="S468" s="169"/>
    </row>
    <row r="470">
      <c r="C470" s="171"/>
      <c r="F470" s="170"/>
      <c r="H470" s="170"/>
      <c r="K470" s="169"/>
      <c r="S470" s="169"/>
    </row>
    <row r="472">
      <c r="C472" s="171"/>
      <c r="F472" s="170"/>
      <c r="H472" s="170"/>
      <c r="K472" s="169"/>
      <c r="S472" s="169"/>
    </row>
    <row r="475">
      <c r="K475" s="168"/>
      <c r="S475" s="168"/>
    </row>
    <row r="479">
      <c r="D479" s="168"/>
      <c r="E479" s="168"/>
    </row>
    <row r="486">
      <c r="C486" s="171"/>
    </row>
    <row r="487">
      <c r="C487" s="171"/>
    </row>
    <row r="488">
      <c r="C488" s="171"/>
    </row>
    <row r="489">
      <c r="C489" s="171"/>
      <c r="F489" s="170"/>
      <c r="H489" s="170"/>
      <c r="K489" s="169"/>
      <c r="S489" s="169"/>
    </row>
    <row r="491">
      <c r="C491" s="171"/>
      <c r="F491" s="170"/>
      <c r="H491" s="170"/>
      <c r="K491" s="169"/>
      <c r="S491" s="169"/>
    </row>
    <row r="493">
      <c r="C493" s="171"/>
      <c r="F493" s="170"/>
      <c r="H493" s="170"/>
      <c r="K493" s="169"/>
      <c r="S493" s="169"/>
    </row>
    <row r="495">
      <c r="C495" s="171"/>
      <c r="F495" s="170"/>
      <c r="H495" s="170"/>
      <c r="K495" s="169"/>
      <c r="S495" s="169"/>
    </row>
    <row r="498">
      <c r="K498" s="168"/>
      <c r="S498" s="168"/>
    </row>
    <row r="502">
      <c r="D502" s="168"/>
      <c r="E502" s="168"/>
    </row>
    <row r="503">
      <c r="D503" s="169"/>
    </row>
    <row r="510">
      <c r="C510" s="171"/>
    </row>
    <row r="511">
      <c r="C511" s="171"/>
    </row>
    <row r="512">
      <c r="C512" s="171"/>
    </row>
    <row r="513">
      <c r="C513" s="171"/>
      <c r="F513" s="170"/>
      <c r="H513" s="170"/>
    </row>
    <row r="515">
      <c r="F515" s="170"/>
      <c r="H515" s="170"/>
      <c r="K515" s="169"/>
      <c r="S515" s="169"/>
    </row>
    <row r="517">
      <c r="C517" s="171"/>
      <c r="F517" s="170"/>
      <c r="H517" s="170"/>
    </row>
    <row r="519">
      <c r="F519" s="170"/>
      <c r="H519" s="170"/>
      <c r="K519" s="169"/>
      <c r="S519" s="169"/>
    </row>
    <row r="521">
      <c r="C521" s="171"/>
      <c r="F521" s="170"/>
      <c r="H521" s="170"/>
    </row>
    <row r="523">
      <c r="F523" s="170"/>
      <c r="H523" s="170"/>
      <c r="K523" s="169"/>
      <c r="S523" s="169"/>
    </row>
    <row r="525">
      <c r="C525" s="171"/>
      <c r="F525" s="170"/>
      <c r="H525" s="170"/>
    </row>
    <row r="527">
      <c r="F527" s="170"/>
      <c r="H527" s="170"/>
      <c r="K527" s="169"/>
      <c r="S527" s="169"/>
    </row>
    <row r="530">
      <c r="K530" s="168"/>
      <c r="S530" s="168"/>
    </row>
    <row r="534">
      <c r="D534" s="169"/>
      <c r="E534" s="168"/>
    </row>
    <row r="535">
      <c r="D535" s="169"/>
    </row>
    <row r="542">
      <c r="C542" s="171"/>
    </row>
    <row r="543">
      <c r="C543" s="171"/>
    </row>
    <row r="544">
      <c r="C544" s="171"/>
      <c r="F544" s="170"/>
      <c r="H544" s="170"/>
      <c r="K544" s="169"/>
      <c r="S544" s="169"/>
    </row>
    <row r="546">
      <c r="C546" s="171"/>
    </row>
    <row r="547">
      <c r="C547" s="171"/>
    </row>
    <row r="548">
      <c r="C548" s="171"/>
    </row>
    <row r="549">
      <c r="C549" s="171"/>
    </row>
    <row r="551">
      <c r="K551" s="169"/>
      <c r="S551" s="169"/>
    </row>
    <row r="555">
      <c r="D555" s="169"/>
      <c r="E555" s="169"/>
    </row>
    <row r="562">
      <c r="C562" s="171"/>
    </row>
    <row r="563">
      <c r="C563" s="171"/>
    </row>
    <row r="564">
      <c r="C564" s="171"/>
      <c r="F564" s="170"/>
      <c r="H564" s="170"/>
      <c r="K564" s="169"/>
      <c r="S564" s="169"/>
    </row>
    <row r="566">
      <c r="C566" s="171"/>
      <c r="F566" s="170"/>
      <c r="H566" s="170"/>
      <c r="K566" s="169"/>
      <c r="S566" s="169"/>
    </row>
    <row r="568">
      <c r="C568" s="171"/>
      <c r="F568" s="170"/>
      <c r="H568" s="170"/>
    </row>
    <row r="570">
      <c r="F570" s="170"/>
      <c r="H570" s="170"/>
      <c r="K570" s="169"/>
      <c r="S570" s="169"/>
    </row>
    <row r="572">
      <c r="C572" s="171"/>
      <c r="F572" s="170"/>
      <c r="H572" s="170"/>
      <c r="K572" s="169"/>
      <c r="S572" s="169"/>
    </row>
    <row r="574">
      <c r="C574" s="171"/>
      <c r="F574" s="170"/>
      <c r="H574" s="170"/>
      <c r="K574" s="169"/>
    </row>
    <row r="576">
      <c r="K576" s="168"/>
      <c r="L576" s="169"/>
      <c r="S576" s="169"/>
    </row>
    <row r="578">
      <c r="K578" s="168"/>
      <c r="L578" s="169"/>
      <c r="S578" s="168"/>
    </row>
    <row r="582">
      <c r="D582" s="169"/>
      <c r="E582" s="168"/>
    </row>
    <row r="583">
      <c r="D583" s="168"/>
    </row>
    <row r="590">
      <c r="C590" s="171"/>
    </row>
    <row r="591">
      <c r="C591" s="171"/>
    </row>
    <row r="592">
      <c r="C592" s="171"/>
    </row>
    <row r="593">
      <c r="C593" s="171"/>
      <c r="F593" s="170"/>
      <c r="H593" s="170"/>
    </row>
    <row r="595">
      <c r="F595" s="170"/>
      <c r="H595" s="170"/>
      <c r="K595" s="169"/>
      <c r="S595" s="169"/>
    </row>
    <row r="597">
      <c r="C597" s="171"/>
      <c r="F597" s="170"/>
      <c r="H597" s="170"/>
    </row>
    <row r="599">
      <c r="F599" s="170"/>
      <c r="H599" s="170"/>
      <c r="K599" s="169"/>
      <c r="S599" s="169"/>
    </row>
    <row r="601">
      <c r="C601" s="171"/>
      <c r="F601" s="170"/>
      <c r="H601" s="170"/>
      <c r="K601" s="169"/>
      <c r="S601" s="169"/>
    </row>
    <row r="603">
      <c r="C603" s="171"/>
      <c r="F603" s="170"/>
      <c r="H603" s="170"/>
    </row>
    <row r="605">
      <c r="F605" s="170"/>
      <c r="H605" s="170"/>
      <c r="K605" s="169"/>
      <c r="S605" s="169"/>
    </row>
    <row r="608">
      <c r="K608" s="168"/>
      <c r="S608" s="168"/>
    </row>
    <row r="612">
      <c r="D612" s="169"/>
      <c r="E612" s="168"/>
    </row>
    <row r="613">
      <c r="D613" s="169"/>
    </row>
    <row r="614">
      <c r="D614" s="16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2017-11-20T18:14:02Z</dcterms:created>
  <dc:creator>Tatiana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0x01010099F19C3F0BFBC94E8E48B0FD619BD304</vt:lpwstr>
  </property>
</Properties>
</file>