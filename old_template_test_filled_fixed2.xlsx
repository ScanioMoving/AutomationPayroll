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roll Weekly Sample" sheetId="1" r:id="rId4"/>
    <sheet state="visible" name="Batch_Report_Sea_and_Air(2026-0" sheetId="2" r:id="rId5"/>
  </sheets>
  <definedNames/>
  <calcPr/>
  <extLst>
    <ext uri="GoogleSheetsCustomDataVersion2">
      <go:sheetsCustomData xmlns:go="http://customooxmlschemas.google.com/" r:id="rId6" roundtripDataChecksum="zU88hY1UTfcnmmXRkMSFbOZl2ttKxUrhdELImCihevw="/>
    </ext>
  </extLst>
</workbook>
</file>

<file path=xl/sharedStrings.xml><?xml version="1.0" encoding="utf-8"?>
<sst xmlns="http://schemas.openxmlformats.org/spreadsheetml/2006/main" count="175" uniqueCount="95">
  <si>
    <t>EMPLOYEE DEPARTMENT</t>
  </si>
  <si>
    <t>Rate</t>
  </si>
  <si>
    <t>TOTAL</t>
  </si>
  <si>
    <t>SCANIO</t>
  </si>
  <si>
    <t>SEA AND AIR</t>
  </si>
  <si>
    <t>FLAT PRICE</t>
  </si>
  <si>
    <t>(hr)</t>
  </si>
  <si>
    <t>$$</t>
  </si>
  <si>
    <t>over-time only</t>
  </si>
  <si>
    <t>comm</t>
  </si>
  <si>
    <t>(hr%)</t>
  </si>
  <si>
    <t>total hr</t>
  </si>
  <si>
    <t>SCANIO MOVING</t>
  </si>
  <si>
    <t>Adriano Rodallega</t>
  </si>
  <si>
    <t>Ang F Sherpa</t>
  </si>
  <si>
    <t>Corio Jamal Vinson</t>
  </si>
  <si>
    <t>Christian F Baena</t>
  </si>
  <si>
    <t>Boris Brin</t>
  </si>
  <si>
    <t>Christian M Font</t>
  </si>
  <si>
    <t>Danylo Chernysh</t>
  </si>
  <si>
    <t>Daniil Eremenkov</t>
  </si>
  <si>
    <t>Daniel Richiez</t>
  </si>
  <si>
    <t>David Torres</t>
  </si>
  <si>
    <t xml:space="preserve">Efrain Gongora </t>
  </si>
  <si>
    <t>Farukh Baymatov</t>
  </si>
  <si>
    <t>Jimmy K Crawford</t>
  </si>
  <si>
    <t>John Velez</t>
  </si>
  <si>
    <t>Maksim Ivashchanka</t>
  </si>
  <si>
    <t>Maksym Lelytsia</t>
  </si>
  <si>
    <t>Sandesh Purja</t>
  </si>
  <si>
    <t>Sonam Sherpa</t>
  </si>
  <si>
    <t>Terry R Maynard</t>
  </si>
  <si>
    <t>Surya Hamal</t>
  </si>
  <si>
    <t>Total</t>
  </si>
  <si>
    <t>%</t>
  </si>
  <si>
    <t>Amount to be reimb salary</t>
  </si>
  <si>
    <t>SCANIO STORAGE</t>
  </si>
  <si>
    <t>David E Aubert</t>
  </si>
  <si>
    <t>Ron Cohen</t>
  </si>
  <si>
    <t>Reginald Debson</t>
  </si>
  <si>
    <t>Mario Gomez -2</t>
  </si>
  <si>
    <t>Mamadou Yamar Diop</t>
  </si>
  <si>
    <t>SEA AND AIR INT-L</t>
  </si>
  <si>
    <t>Ang Sona Sherpa</t>
  </si>
  <si>
    <t>Fnu Rigjin Dawa</t>
  </si>
  <si>
    <t>Hishey L Lama</t>
  </si>
  <si>
    <t>Kye DeVonte White</t>
  </si>
  <si>
    <t>Lakpa S Sherpa</t>
  </si>
  <si>
    <t>Mario J Gomez</t>
  </si>
  <si>
    <t>Oleksii Danylenko</t>
  </si>
  <si>
    <t>Vladyslav Kandybiei</t>
  </si>
  <si>
    <t>Sonam T Lama</t>
  </si>
  <si>
    <t>Vincent Vails</t>
  </si>
  <si>
    <t xml:space="preserve">FLAT PRICE </t>
  </si>
  <si>
    <t>Chhiring L Gurung</t>
  </si>
  <si>
    <t>Dwayne K Guerra</t>
  </si>
  <si>
    <t>Dorgee Namjom</t>
  </si>
  <si>
    <t>John Johnson</t>
  </si>
  <si>
    <t>Phuri Sherpa</t>
  </si>
  <si>
    <t>Nurba T Gurung</t>
  </si>
  <si>
    <t>Tyshawn Eugene Allen</t>
  </si>
  <si>
    <t>Juan Francisco Cevallos Garzon</t>
  </si>
  <si>
    <t>Total over-time</t>
  </si>
  <si>
    <t>Due from Scanio to Sea &amp; Air</t>
  </si>
  <si>
    <t>Due from Scanio to FP</t>
  </si>
  <si>
    <t>Due from Sea &amp; Air to FP</t>
  </si>
  <si>
    <t>Due from Scanio to Sea &amp; Air (cash)</t>
  </si>
  <si>
    <t>Due from Scanio to FP (cash)</t>
  </si>
  <si>
    <t>Due from Sea &amp; Air to FP (cash)</t>
  </si>
  <si>
    <t>Name</t>
  </si>
  <si>
    <t>Company</t>
  </si>
  <si>
    <t>Hours at Company</t>
  </si>
  <si>
    <t>Tyshawn eugene allen</t>
  </si>
  <si>
    <t>FLATPRICE</t>
  </si>
  <si>
    <t>Dwayne Guerra</t>
  </si>
  <si>
    <t>Nurba Tsering Gurung</t>
  </si>
  <si>
    <t>scanio moving</t>
  </si>
  <si>
    <t>hishey lundup lama</t>
  </si>
  <si>
    <t>Chhiring Lopsang Gurung</t>
  </si>
  <si>
    <t>SEA AIR</t>
  </si>
  <si>
    <t>dorjee namjom</t>
  </si>
  <si>
    <t>phuri sherpa</t>
  </si>
  <si>
    <t>danylo chernysh</t>
  </si>
  <si>
    <t>jimmy crawford</t>
  </si>
  <si>
    <t>oleksii Danylenko</t>
  </si>
  <si>
    <t>Christian Font</t>
  </si>
  <si>
    <t>Mario j Gomez morales</t>
  </si>
  <si>
    <t>maksim ivashchanka</t>
  </si>
  <si>
    <t>Sonam T lama</t>
  </si>
  <si>
    <t>sandesh purja</t>
  </si>
  <si>
    <t>daniel richiez</t>
  </si>
  <si>
    <t>fnu rigjin dawa</t>
  </si>
  <si>
    <t>ang sona sherpa</t>
  </si>
  <si>
    <t>lapka S Sherpa</t>
  </si>
  <si>
    <t>David Aubert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</si>
</sst>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* #,##0.0_);_(* \(#,##0.0\);_(* &quot;-&quot;?_);_(@_)"/>
    <numFmt numFmtId="165" formatCode="_(* #,##0.00_);_(* \(#,##0.00\);_(* &quot;-&quot;??_);_(@_)"/>
    <numFmt numFmtId="166" formatCode="_(* #,##0.00_);_(* \(#,##0.00\);_(* &quot;-&quot;?_);_(@_)"/>
    <numFmt numFmtId="167" formatCode="_(&quot;$&quot;* #,##0.00_);_(&quot;$&quot;* \(#,##0.00\);_(&quot;$&quot;* &quot;-&quot;??_);_(@_)"/>
    <numFmt numFmtId="168" formatCode="_(* #,##0.000_);_(* \(#,##0.000\);_(* &quot;-&quot;???_);_(@_)"/>
    <numFmt numFmtId="169" formatCode="&quot;$&quot;#,##0.00"/>
    <numFmt numFmtId="170" formatCode="_(* #,##0_);_(* \(#,##0\);_(* &quot;-&quot;_);_(@_)"/>
    <numFmt numFmtId="171" formatCode="&quot;$&quot;#,##0.00_);\(&quot;$&quot;#,##0.00\)"/>
    <numFmt numFmtId="172" formatCode="h:mm am/pm"/>
    <numFmt numFmtId="173" formatCode="mm/dd/yy"/>
  </numFmts>
  <fonts count="9">
    <font>
      <sz val="11.0"/>
      <color theme="1"/>
      <name val="Arial"/>
      <scheme val="minor"/>
    </font>
    <font>
      <sz val="10.0"/>
      <color theme="1"/>
      <name val="Arial"/>
    </font>
    <font/>
    <font>
      <b/>
      <sz val="10.0"/>
      <color theme="1"/>
      <name val="Arial"/>
    </font>
    <font>
      <b/>
      <sz val="10.0"/>
      <color rgb="FFC00000"/>
      <name val="Arial"/>
    </font>
    <font>
      <sz val="11.0"/>
      <color theme="1"/>
      <name val="Arial"/>
    </font>
    <font>
      <sz val="10.0"/>
      <color rgb="FFC00000"/>
      <name val="Arial"/>
    </font>
    <font>
      <sz val="10.0"/>
      <color rgb="FF002060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6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</border>
    <border>
      <left/>
      <righ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0" xfId="0" applyFont="1"/>
    <xf borderId="1" fillId="2" fontId="1" numFmtId="0" xfId="0" applyBorder="1" applyFill="1" applyFont="1"/>
    <xf borderId="1" fillId="3" fontId="1" numFmtId="0" xfId="0" applyBorder="1" applyFill="1" applyFont="1"/>
    <xf borderId="2" fillId="0" fontId="1" numFmtId="0" xfId="0" applyBorder="1" applyFont="1"/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3" fillId="4" fontId="3" numFmtId="0" xfId="0" applyAlignment="1" applyBorder="1" applyFill="1" applyFont="1">
      <alignment horizontal="center"/>
    </xf>
    <xf borderId="3" fillId="5" fontId="3" numFmtId="0" xfId="0" applyAlignment="1" applyBorder="1" applyFill="1" applyFont="1">
      <alignment horizontal="center"/>
    </xf>
    <xf borderId="3" fillId="6" fontId="3" numFmtId="0" xfId="0" applyAlignment="1" applyBorder="1" applyFill="1" applyFont="1">
      <alignment horizontal="center"/>
    </xf>
    <xf borderId="7" fillId="0" fontId="1" numFmtId="0" xfId="0" applyBorder="1" applyFont="1"/>
    <xf borderId="3" fillId="2" fontId="1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0" fillId="0" fontId="3" numFmtId="1" xfId="0" applyFont="1" applyNumberFormat="1"/>
    <xf borderId="8" fillId="0" fontId="3" numFmtId="0" xfId="0" applyBorder="1" applyFont="1"/>
    <xf borderId="9" fillId="0" fontId="3" numFmtId="0" xfId="0" applyAlignment="1" applyBorder="1" applyFont="1">
      <alignment horizontal="center"/>
    </xf>
    <xf borderId="10" fillId="2" fontId="3" numFmtId="0" xfId="0" applyAlignment="1" applyBorder="1" applyFont="1">
      <alignment horizontal="center"/>
    </xf>
    <xf borderId="10" fillId="3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0" fillId="0" fontId="3" numFmtId="0" xfId="0" applyFont="1"/>
    <xf borderId="12" fillId="0" fontId="4" numFmtId="0" xfId="0" applyBorder="1" applyFont="1"/>
    <xf borderId="13" fillId="0" fontId="1" numFmtId="0" xfId="0" applyBorder="1" applyFont="1"/>
    <xf borderId="14" fillId="2" fontId="1" numFmtId="164" xfId="0" applyBorder="1" applyFont="1" applyNumberFormat="1"/>
    <xf borderId="15" fillId="0" fontId="1" numFmtId="165" xfId="0" applyBorder="1" applyFont="1" applyNumberFormat="1"/>
    <xf borderId="15" fillId="3" fontId="1" numFmtId="165" xfId="0" applyBorder="1" applyFont="1" applyNumberFormat="1"/>
    <xf borderId="16" fillId="0" fontId="1" numFmtId="166" xfId="0" applyBorder="1" applyFont="1" applyNumberFormat="1"/>
    <xf borderId="15" fillId="0" fontId="1" numFmtId="9" xfId="0" applyBorder="1" applyFont="1" applyNumberFormat="1"/>
    <xf borderId="13" fillId="0" fontId="1" numFmtId="166" xfId="0" applyBorder="1" applyFont="1" applyNumberFormat="1"/>
    <xf borderId="15" fillId="0" fontId="1" numFmtId="166" xfId="0" applyBorder="1" applyFont="1" applyNumberFormat="1"/>
    <xf borderId="17" fillId="0" fontId="1" numFmtId="166" xfId="0" applyBorder="1" applyFont="1" applyNumberFormat="1"/>
    <xf borderId="18" fillId="0" fontId="1" numFmtId="0" xfId="0" applyBorder="1" applyFont="1"/>
    <xf borderId="5" fillId="0" fontId="1" numFmtId="0" xfId="0" applyBorder="1" applyFont="1"/>
    <xf borderId="3" fillId="2" fontId="1" numFmtId="164" xfId="0" applyBorder="1" applyFont="1" applyNumberFormat="1"/>
    <xf borderId="6" fillId="0" fontId="1" numFmtId="165" xfId="0" applyBorder="1" applyFont="1" applyNumberFormat="1"/>
    <xf borderId="3" fillId="0" fontId="1" numFmtId="165" xfId="0" applyBorder="1" applyFont="1" applyNumberFormat="1"/>
    <xf borderId="3" fillId="3" fontId="1" numFmtId="165" xfId="0" applyBorder="1" applyFont="1" applyNumberFormat="1"/>
    <xf borderId="4" fillId="0" fontId="1" numFmtId="166" xfId="0" applyBorder="1" applyFont="1" applyNumberFormat="1"/>
    <xf borderId="3" fillId="0" fontId="1" numFmtId="9" xfId="0" applyBorder="1" applyFont="1" applyNumberFormat="1"/>
    <xf borderId="6" fillId="0" fontId="1" numFmtId="166" xfId="0" applyBorder="1" applyFont="1" applyNumberFormat="1"/>
    <xf borderId="3" fillId="0" fontId="1" numFmtId="166" xfId="0" applyBorder="1" applyFont="1" applyNumberFormat="1"/>
    <xf borderId="19" fillId="0" fontId="1" numFmtId="166" xfId="0" applyBorder="1" applyFont="1" applyNumberFormat="1"/>
    <xf borderId="18" fillId="0" fontId="4" numFmtId="0" xfId="0" applyBorder="1" applyFont="1"/>
    <xf borderId="7" fillId="0" fontId="1" numFmtId="165" xfId="0" applyBorder="1" applyFont="1" applyNumberFormat="1"/>
    <xf borderId="20" fillId="0" fontId="1" numFmtId="166" xfId="0" applyBorder="1" applyFont="1" applyNumberFormat="1"/>
    <xf borderId="21" fillId="0" fontId="1" numFmtId="166" xfId="0" applyBorder="1" applyFont="1" applyNumberFormat="1"/>
    <xf borderId="7" fillId="0" fontId="1" numFmtId="166" xfId="0" applyBorder="1" applyFont="1" applyNumberFormat="1"/>
    <xf borderId="9" fillId="0" fontId="1" numFmtId="0" xfId="0" applyBorder="1" applyFont="1"/>
    <xf borderId="2" fillId="0" fontId="1" numFmtId="165" xfId="0" applyBorder="1" applyFont="1" applyNumberFormat="1"/>
    <xf borderId="8" fillId="0" fontId="1" numFmtId="166" xfId="0" applyBorder="1" applyFont="1" applyNumberFormat="1"/>
    <xf borderId="11" fillId="0" fontId="1" numFmtId="166" xfId="0" applyBorder="1" applyFont="1" applyNumberFormat="1"/>
    <xf borderId="2" fillId="0" fontId="1" numFmtId="166" xfId="0" applyBorder="1" applyFont="1" applyNumberFormat="1"/>
    <xf borderId="22" fillId="0" fontId="1" numFmtId="0" xfId="0" applyBorder="1" applyFont="1"/>
    <xf borderId="23" fillId="0" fontId="1" numFmtId="0" xfId="0" applyBorder="1" applyFont="1"/>
    <xf borderId="24" fillId="2" fontId="1" numFmtId="164" xfId="0" applyBorder="1" applyFont="1" applyNumberFormat="1"/>
    <xf borderId="25" fillId="0" fontId="1" numFmtId="165" xfId="0" applyBorder="1" applyFont="1" applyNumberFormat="1"/>
    <xf borderId="25" fillId="3" fontId="1" numFmtId="165" xfId="0" applyBorder="1" applyFont="1" applyNumberFormat="1"/>
    <xf borderId="26" fillId="0" fontId="1" numFmtId="166" xfId="0" applyBorder="1" applyFont="1" applyNumberFormat="1"/>
    <xf borderId="25" fillId="0" fontId="1" numFmtId="9" xfId="0" applyBorder="1" applyFont="1" applyNumberFormat="1"/>
    <xf borderId="23" fillId="0" fontId="1" numFmtId="166" xfId="0" applyBorder="1" applyFont="1" applyNumberFormat="1"/>
    <xf borderId="25" fillId="0" fontId="1" numFmtId="166" xfId="0" applyBorder="1" applyFont="1" applyNumberFormat="1"/>
    <xf borderId="27" fillId="0" fontId="1" numFmtId="166" xfId="0" applyBorder="1" applyFont="1" applyNumberFormat="1"/>
    <xf borderId="28" fillId="0" fontId="3" numFmtId="0" xfId="0" applyBorder="1" applyFont="1"/>
    <xf borderId="29" fillId="0" fontId="3" numFmtId="0" xfId="0" applyBorder="1" applyFont="1"/>
    <xf borderId="30" fillId="2" fontId="3" numFmtId="164" xfId="0" applyBorder="1" applyFont="1" applyNumberFormat="1"/>
    <xf borderId="31" fillId="0" fontId="3" numFmtId="167" xfId="0" applyBorder="1" applyFont="1" applyNumberFormat="1"/>
    <xf borderId="30" fillId="3" fontId="3" numFmtId="167" xfId="0" applyBorder="1" applyFont="1" applyNumberFormat="1"/>
    <xf borderId="31" fillId="0" fontId="3" numFmtId="166" xfId="0" applyBorder="1" applyFont="1" applyNumberFormat="1"/>
    <xf borderId="29" fillId="0" fontId="1" numFmtId="9" xfId="0" applyBorder="1" applyFont="1" applyNumberFormat="1"/>
    <xf borderId="31" fillId="0" fontId="1" numFmtId="9" xfId="0" applyBorder="1" applyFont="1" applyNumberFormat="1"/>
    <xf borderId="32" fillId="0" fontId="3" numFmtId="166" xfId="0" applyBorder="1" applyFont="1" applyNumberFormat="1"/>
    <xf borderId="0" fillId="0" fontId="3" numFmtId="164" xfId="0" applyFont="1" applyNumberFormat="1"/>
    <xf borderId="7" fillId="0" fontId="1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8" xfId="0" applyFont="1" applyNumberFormat="1"/>
    <xf borderId="0" fillId="0" fontId="1" numFmtId="167" xfId="0" applyFont="1" applyNumberFormat="1"/>
    <xf borderId="33" fillId="3" fontId="3" numFmtId="167" xfId="0" applyBorder="1" applyFont="1" applyNumberFormat="1"/>
    <xf borderId="34" fillId="0" fontId="1" numFmtId="167" xfId="0" applyBorder="1" applyFont="1" applyNumberFormat="1"/>
    <xf borderId="35" fillId="0" fontId="1" numFmtId="165" xfId="0" applyBorder="1" applyFont="1" applyNumberFormat="1"/>
    <xf borderId="36" fillId="0" fontId="3" numFmtId="0" xfId="0" applyBorder="1" applyFont="1"/>
    <xf borderId="35" fillId="0" fontId="1" numFmtId="167" xfId="0" applyBorder="1" applyFont="1" applyNumberFormat="1"/>
    <xf borderId="36" fillId="0" fontId="3" numFmtId="164" xfId="0" applyBorder="1" applyFont="1" applyNumberFormat="1"/>
    <xf borderId="35" fillId="0" fontId="3" numFmtId="169" xfId="0" applyBorder="1" applyFont="1" applyNumberFormat="1"/>
    <xf borderId="0" fillId="0" fontId="1" numFmtId="169" xfId="0" applyFont="1" applyNumberFormat="1"/>
    <xf borderId="0" fillId="0" fontId="1" numFmtId="0" xfId="0" applyAlignment="1" applyFont="1">
      <alignment horizontal="center"/>
    </xf>
    <xf borderId="37" fillId="0" fontId="3" numFmtId="169" xfId="0" applyBorder="1" applyFont="1" applyNumberFormat="1"/>
    <xf borderId="0" fillId="0" fontId="3" numFmtId="169" xfId="0" applyFont="1" applyNumberFormat="1"/>
    <xf borderId="32" fillId="0" fontId="3" numFmtId="0" xfId="0" applyBorder="1" applyFont="1"/>
    <xf borderId="35" fillId="0" fontId="1" numFmtId="0" xfId="0" applyBorder="1" applyFont="1"/>
    <xf borderId="38" fillId="2" fontId="1" numFmtId="164" xfId="0" applyBorder="1" applyFont="1" applyNumberFormat="1"/>
    <xf borderId="39" fillId="0" fontId="1" numFmtId="0" xfId="0" applyBorder="1" applyFont="1"/>
    <xf borderId="38" fillId="3" fontId="1" numFmtId="0" xfId="0" applyBorder="1" applyFont="1"/>
    <xf borderId="34" fillId="0" fontId="1" numFmtId="0" xfId="0" applyBorder="1" applyFont="1"/>
    <xf borderId="15" fillId="0" fontId="1" numFmtId="0" xfId="0" applyBorder="1" applyFont="1"/>
    <xf borderId="15" fillId="2" fontId="1" numFmtId="164" xfId="0" applyBorder="1" applyFont="1" applyNumberFormat="1"/>
    <xf borderId="13" fillId="0" fontId="1" numFmtId="165" xfId="0" applyBorder="1" applyFont="1" applyNumberFormat="1"/>
    <xf borderId="18" fillId="0" fontId="3" numFmtId="0" xfId="0" applyBorder="1" applyFont="1"/>
    <xf borderId="3" fillId="0" fontId="1" numFmtId="0" xfId="0" applyBorder="1" applyFont="1"/>
    <xf borderId="21" fillId="0" fontId="1" numFmtId="165" xfId="0" applyBorder="1" applyFont="1" applyNumberFormat="1"/>
    <xf borderId="40" fillId="0" fontId="1" numFmtId="166" xfId="0" applyBorder="1" applyFont="1" applyNumberFormat="1"/>
    <xf borderId="41" fillId="0" fontId="3" numFmtId="167" xfId="0" applyBorder="1" applyFont="1" applyNumberFormat="1"/>
    <xf borderId="42" fillId="3" fontId="3" numFmtId="167" xfId="0" applyBorder="1" applyFont="1" applyNumberFormat="1"/>
    <xf borderId="41" fillId="0" fontId="3" numFmtId="166" xfId="0" applyBorder="1" applyFont="1" applyNumberFormat="1"/>
    <xf borderId="43" fillId="0" fontId="3" numFmtId="166" xfId="0" applyBorder="1" applyFont="1" applyNumberFormat="1"/>
    <xf borderId="44" fillId="0" fontId="1" numFmtId="0" xfId="0" applyAlignment="1" applyBorder="1" applyFont="1">
      <alignment horizontal="center"/>
    </xf>
    <xf borderId="0" fillId="0" fontId="1" numFmtId="170" xfId="0" applyFont="1" applyNumberFormat="1"/>
    <xf borderId="1" fillId="3" fontId="1" numFmtId="170" xfId="0" applyBorder="1" applyFont="1" applyNumberFormat="1"/>
    <xf borderId="32" fillId="0" fontId="1" numFmtId="167" xfId="0" applyBorder="1" applyFont="1" applyNumberFormat="1"/>
    <xf borderId="0" fillId="0" fontId="1" numFmtId="171" xfId="0" applyFont="1" applyNumberFormat="1"/>
    <xf borderId="35" fillId="0" fontId="3" numFmtId="167" xfId="0" applyBorder="1" applyFont="1" applyNumberFormat="1"/>
    <xf borderId="39" fillId="0" fontId="3" numFmtId="0" xfId="0" applyBorder="1" applyFont="1"/>
    <xf borderId="38" fillId="2" fontId="3" numFmtId="164" xfId="0" applyBorder="1" applyFont="1" applyNumberFormat="1"/>
    <xf borderId="38" fillId="3" fontId="3" numFmtId="0" xfId="0" applyBorder="1" applyFont="1"/>
    <xf borderId="39" fillId="0" fontId="3" numFmtId="164" xfId="0" applyBorder="1" applyFont="1" applyNumberFormat="1"/>
    <xf borderId="34" fillId="0" fontId="3" numFmtId="164" xfId="0" applyBorder="1" applyFont="1" applyNumberFormat="1"/>
    <xf borderId="45" fillId="0" fontId="1" numFmtId="0" xfId="0" applyBorder="1" applyFont="1"/>
    <xf borderId="46" fillId="2" fontId="1" numFmtId="164" xfId="0" applyBorder="1" applyFont="1" applyNumberFormat="1"/>
    <xf borderId="47" fillId="0" fontId="1" numFmtId="165" xfId="0" applyBorder="1" applyFont="1" applyNumberFormat="1"/>
    <xf borderId="48" fillId="0" fontId="1" numFmtId="0" xfId="0" applyBorder="1" applyFont="1"/>
    <xf borderId="49" fillId="2" fontId="1" numFmtId="164" xfId="0" applyBorder="1" applyFont="1" applyNumberFormat="1"/>
    <xf borderId="50" fillId="3" fontId="1" numFmtId="165" xfId="0" applyBorder="1" applyFont="1" applyNumberFormat="1"/>
    <xf borderId="7" fillId="0" fontId="1" numFmtId="9" xfId="0" applyBorder="1" applyFont="1" applyNumberFormat="1"/>
    <xf borderId="51" fillId="0" fontId="1" numFmtId="166" xfId="0" applyBorder="1" applyFont="1" applyNumberFormat="1"/>
    <xf borderId="48" fillId="0" fontId="4" numFmtId="0" xfId="0" applyBorder="1" applyFont="1"/>
    <xf borderId="52" fillId="3" fontId="1" numFmtId="165" xfId="0" applyBorder="1" applyFont="1" applyNumberFormat="1"/>
    <xf borderId="53" fillId="0" fontId="1" numFmtId="166" xfId="0" applyBorder="1" applyFont="1" applyNumberFormat="1"/>
    <xf borderId="54" fillId="0" fontId="3" numFmtId="0" xfId="0" applyBorder="1" applyFont="1"/>
    <xf borderId="25" fillId="0" fontId="3" numFmtId="0" xfId="0" applyBorder="1" applyFont="1"/>
    <xf borderId="55" fillId="2" fontId="3" numFmtId="164" xfId="0" applyBorder="1" applyFont="1" applyNumberFormat="1"/>
    <xf borderId="41" fillId="0" fontId="3" numFmtId="9" xfId="0" applyBorder="1" applyFont="1" applyNumberFormat="1"/>
    <xf borderId="1" fillId="3" fontId="1" numFmtId="167" xfId="0" applyBorder="1" applyFont="1" applyNumberFormat="1"/>
    <xf borderId="0" fillId="0" fontId="1" numFmtId="164" xfId="0" applyFont="1" applyNumberFormat="1"/>
    <xf borderId="56" fillId="0" fontId="3" numFmtId="0" xfId="0" applyBorder="1" applyFont="1"/>
    <xf borderId="37" fillId="0" fontId="3" numFmtId="0" xfId="0" applyBorder="1" applyFont="1"/>
    <xf borderId="57" fillId="2" fontId="3" numFmtId="164" xfId="0" applyBorder="1" applyFont="1" applyNumberFormat="1"/>
    <xf borderId="57" fillId="3" fontId="3" numFmtId="0" xfId="0" applyBorder="1" applyFont="1"/>
    <xf borderId="37" fillId="0" fontId="3" numFmtId="164" xfId="0" applyBorder="1" applyFont="1" applyNumberFormat="1"/>
    <xf borderId="58" fillId="0" fontId="3" numFmtId="164" xfId="0" applyBorder="1" applyFont="1" applyNumberFormat="1"/>
    <xf borderId="59" fillId="0" fontId="1" numFmtId="0" xfId="0" applyBorder="1" applyFont="1"/>
    <xf borderId="6" fillId="0" fontId="1" numFmtId="0" xfId="0" applyBorder="1" applyFont="1"/>
    <xf borderId="3" fillId="0" fontId="1" numFmtId="4" xfId="0" applyBorder="1" applyFont="1" applyNumberFormat="1"/>
    <xf borderId="59" fillId="0" fontId="4" numFmtId="0" xfId="0" applyBorder="1" applyFont="1"/>
    <xf borderId="21" fillId="0" fontId="1" numFmtId="0" xfId="0" applyBorder="1" applyFont="1"/>
    <xf borderId="0" fillId="0" fontId="5" numFmtId="4" xfId="0" applyFont="1" applyNumberFormat="1"/>
    <xf borderId="59" fillId="7" fontId="1" numFmtId="0" xfId="0" applyBorder="1" applyFill="1" applyFont="1"/>
    <xf borderId="2" fillId="0" fontId="1" numFmtId="9" xfId="0" applyBorder="1" applyFont="1" applyNumberFormat="1"/>
    <xf borderId="2" fillId="0" fontId="1" numFmtId="4" xfId="0" applyBorder="1" applyFont="1" applyNumberFormat="1"/>
    <xf borderId="60" fillId="0" fontId="1" numFmtId="0" xfId="0" applyBorder="1" applyFont="1"/>
    <xf borderId="61" fillId="0" fontId="4" numFmtId="0" xfId="0" applyBorder="1" applyFont="1"/>
    <xf borderId="62" fillId="0" fontId="1" numFmtId="0" xfId="0" applyBorder="1" applyFont="1"/>
    <xf borderId="32" fillId="0" fontId="4" numFmtId="0" xfId="0" applyBorder="1" applyFont="1"/>
    <xf borderId="61" fillId="0" fontId="1" numFmtId="0" xfId="0" applyBorder="1" applyFont="1"/>
    <xf borderId="18" fillId="0" fontId="6" numFmtId="0" xfId="0" applyBorder="1" applyFont="1"/>
    <xf borderId="63" fillId="2" fontId="1" numFmtId="164" xfId="0" applyBorder="1" applyFont="1" applyNumberFormat="1"/>
    <xf borderId="63" fillId="3" fontId="1" numFmtId="165" xfId="0" applyBorder="1" applyFont="1" applyNumberFormat="1"/>
    <xf borderId="35" fillId="0" fontId="3" numFmtId="0" xfId="0" applyBorder="1" applyFont="1"/>
    <xf borderId="64" fillId="0" fontId="3" numFmtId="0" xfId="0" applyBorder="1" applyFont="1"/>
    <xf borderId="42" fillId="2" fontId="3" numFmtId="164" xfId="0" applyBorder="1" applyFont="1" applyNumberFormat="1"/>
    <xf borderId="0" fillId="0" fontId="3" numFmtId="167" xfId="0" applyFont="1" applyNumberFormat="1"/>
    <xf borderId="32" fillId="0" fontId="1" numFmtId="0" xfId="0" applyBorder="1" applyFont="1"/>
    <xf borderId="1" fillId="2" fontId="5" numFmtId="0" xfId="0" applyBorder="1" applyFont="1"/>
    <xf borderId="32" fillId="0" fontId="3" numFmtId="164" xfId="0" applyBorder="1" applyFont="1" applyNumberFormat="1"/>
    <xf borderId="0" fillId="0" fontId="7" numFmtId="0" xfId="0" applyFont="1"/>
    <xf borderId="0" fillId="0" fontId="1" numFmtId="165" xfId="0" applyFont="1" applyNumberFormat="1"/>
    <xf borderId="1" fillId="8" fontId="1" numFmtId="0" xfId="0" applyBorder="1" applyFill="1" applyFont="1"/>
    <xf borderId="0" fillId="0" fontId="8" numFmtId="0" xfId="0" applyAlignment="1" applyFont="1">
      <alignment readingOrder="0"/>
    </xf>
    <xf borderId="0" fillId="0" fontId="8" numFmtId="46" xfId="0" applyAlignment="1" applyFont="1" applyNumberFormat="1">
      <alignment readingOrder="0"/>
    </xf>
    <xf borderId="0" fillId="0" fontId="8" numFmtId="20" xfId="0" applyAlignment="1" applyFont="1" applyNumberFormat="1">
      <alignment readingOrder="0"/>
    </xf>
    <xf borderId="0" fillId="0" fontId="8" numFmtId="172" xfId="0" applyAlignment="1" applyFont="1" applyNumberFormat="1">
      <alignment readingOrder="0"/>
    </xf>
    <xf borderId="0" fillId="0" fontId="8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3.13"/>
    <col customWidth="1" min="2" max="2" width="27.5"/>
    <col customWidth="1" min="3" max="4" width="10.13"/>
    <col customWidth="1" min="5" max="5" width="17.25"/>
    <col customWidth="1" min="6" max="6" width="12.38"/>
    <col customWidth="1" min="7" max="7" width="11.25"/>
    <col customWidth="1" min="8" max="12" width="10.13"/>
    <col customWidth="1" min="13" max="13" width="12.25"/>
    <col customWidth="1" min="14" max="17" width="10.13"/>
    <col customWidth="1" min="18" max="29" width="7.13"/>
  </cols>
  <sheetData xmlns="http://schemas.openxmlformats.org/spreadsheetml/2006/main">
    <row r="1" ht="12.75" customHeight="1">
      <c r="A1" s="1"/>
      <c r="B1" s="2"/>
      <c r="C1" s="2"/>
      <c r="D1" s="3"/>
      <c r="E1" s="2"/>
      <c r="F1" s="2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2.75" customHeight="1">
      <c r="A2" s="1"/>
      <c r="B2" s="5" t="s">
        <v>0</v>
      </c>
      <c r="C2" s="6" t="s">
        <v>1</v>
      </c>
      <c r="D2" s="7" t="s">
        <v>2</v>
      </c>
      <c r="E2" s="8"/>
      <c r="F2" s="8"/>
      <c r="G2" s="9"/>
      <c r="H2" s="10" t="s">
        <v>3</v>
      </c>
      <c r="I2" s="11" t="s">
        <v>4</v>
      </c>
      <c r="J2" s="12" t="s">
        <v>5</v>
      </c>
      <c r="K2" s="10" t="s">
        <v>3</v>
      </c>
      <c r="L2" s="10" t="s">
        <v>3</v>
      </c>
      <c r="M2" s="11" t="s">
        <v>4</v>
      </c>
      <c r="N2" s="11" t="s">
        <v>4</v>
      </c>
      <c r="O2" s="12" t="s">
        <v>5</v>
      </c>
      <c r="P2" s="12" t="s">
        <v>5</v>
      </c>
      <c r="Q2" s="6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2.75" customHeight="1">
      <c r="A3" s="1"/>
      <c r="B3" s="13"/>
      <c r="C3" s="6"/>
      <c r="D3" s="14" t="s">
        <v>6</v>
      </c>
      <c r="E3" s="6" t="s">
        <v>7</v>
      </c>
      <c r="F3" s="6" t="s">
        <v>8</v>
      </c>
      <c r="G3" s="15" t="s">
        <v>9</v>
      </c>
      <c r="H3" s="6" t="s">
        <v>9</v>
      </c>
      <c r="I3" s="6" t="s">
        <v>9</v>
      </c>
      <c r="J3" s="6" t="s">
        <v>9</v>
      </c>
      <c r="K3" s="6" t="s">
        <v>6</v>
      </c>
      <c r="L3" s="6" t="s">
        <v>10</v>
      </c>
      <c r="M3" s="6" t="s">
        <v>6</v>
      </c>
      <c r="N3" s="6" t="s">
        <v>10</v>
      </c>
      <c r="O3" s="6" t="s">
        <v>6</v>
      </c>
      <c r="P3" s="6" t="s">
        <v>10</v>
      </c>
      <c r="Q3" s="6" t="s">
        <v>11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2.75" customHeight="1">
      <c r="A4" s="16"/>
      <c r="B4" s="17" t="s">
        <v>12</v>
      </c>
      <c r="C4" s="18"/>
      <c r="D4" s="19"/>
      <c r="E4" s="18"/>
      <c r="F4" s="18"/>
      <c r="G4" s="20"/>
      <c r="H4" s="18"/>
      <c r="I4" s="18"/>
      <c r="J4" s="18"/>
      <c r="K4" s="18"/>
      <c r="L4" s="18"/>
      <c r="M4" s="18"/>
      <c r="N4" s="18"/>
      <c r="O4" s="18"/>
      <c r="P4" s="18"/>
      <c r="Q4" s="21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</row>
    <row r="5" ht="14.25" customHeight="1">
      <c r="A5" s="1">
        <v>1.0</v>
      </c>
      <c r="B5" s="23" t="inlineStr">
        <is>
          <t>Adriano Rodallega</t>
        </is>
      </c>
      <c r="C5" s="24">
        <v>18</v>
      </c>
      <c r="D5" s="25">
        <f t="shared" ref="D5:D25" si="1">Q5</f>
        <v>0</v>
      </c>
      <c r="E5" s="26">
        <f t="shared" ref="E5:E25" si="2">IF(D5&gt;40,(D5-40)*(C5*1.5)+(C5*40),D5*C5)</f>
        <v>0</v>
      </c>
      <c r="F5" s="26">
        <f t="shared" ref="F5:F25" si="3">IF(D5&gt;40,(D5-40)*(C5*0.5),0)</f>
        <v>0</v>
      </c>
      <c r="G5" s="27">
        <v>0</v>
      </c>
      <c r="H5" s="26">
        <v>0</v>
      </c>
      <c r="I5" s="26">
        <v>0</v>
      </c>
      <c r="J5" s="26">
        <v>0</v>
      </c>
      <c r="K5" s="28">
        <v>28.25</v>
      </c>
      <c r="L5" s="29">
        <f t="shared" ref="L5:L13" si="5">IFERROR(K5/Q5,0)</f>
        <v>0</v>
      </c>
      <c r="M5" s="30">
        <v>0</v>
      </c>
      <c r="N5" s="29">
        <f t="shared" ref="N5:N25" si="6">IFERROR(M5/Q5,0)</f>
        <v>0</v>
      </c>
      <c r="O5" s="31">
        <v>0</v>
      </c>
      <c r="P5" s="29">
        <f t="shared" ref="P5:P25" si="7">IFERROR(O5/Q5,0)</f>
        <v>0</v>
      </c>
      <c r="Q5" s="32">
        <f t="shared" ref="Q5:Q25" si="8">K5+M5+O5</f>
        <v>0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">
        <f t="shared" ref="A6:A8" si="9">1+A5</f>
        <v>2</v>
      </c>
      <c r="B6" s="33" t="inlineStr">
        <is>
          <t>Ang F Sherpa</t>
        </is>
      </c>
      <c r="C6" s="34">
        <v>16</v>
      </c>
      <c r="D6" s="35">
        <f t="shared" si="1"/>
        <v>0</v>
      </c>
      <c r="E6" s="36">
        <f t="shared" si="2"/>
        <v>0</v>
      </c>
      <c r="F6" s="37">
        <f t="shared" si="3"/>
        <v>0</v>
      </c>
      <c r="G6" s="38">
        <v>0</v>
      </c>
      <c r="H6" s="37">
        <v>0</v>
      </c>
      <c r="I6" s="37">
        <v>0</v>
      </c>
      <c r="J6" s="37">
        <v>0</v>
      </c>
      <c r="K6" s="39">
        <v>0</v>
      </c>
      <c r="L6" s="40">
        <f t="shared" si="5"/>
        <v>0</v>
      </c>
      <c r="M6" s="41">
        <v>0</v>
      </c>
      <c r="N6" s="40">
        <f t="shared" si="6"/>
        <v>0</v>
      </c>
      <c r="O6" s="42">
        <v>0</v>
      </c>
      <c r="P6" s="40">
        <f t="shared" si="7"/>
        <v>0</v>
      </c>
      <c r="Q6" s="43">
        <f t="shared" si="8"/>
        <v>0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2.75" customHeight="1">
      <c r="A7" s="1">
        <f t="shared" si="9"/>
        <v>3</v>
      </c>
      <c r="B7" s="44" t="inlineStr">
        <is>
          <t>Boris Brin</t>
        </is>
      </c>
      <c r="C7" s="34">
        <v>20</v>
      </c>
      <c r="D7" s="35">
        <f t="shared" si="1"/>
        <v>0</v>
      </c>
      <c r="E7" s="36">
        <f t="shared" si="2"/>
        <v>0</v>
      </c>
      <c r="F7" s="37">
        <f t="shared" si="3"/>
        <v>0</v>
      </c>
      <c r="G7" s="38">
        <v>0</v>
      </c>
      <c r="H7" s="37">
        <v>0</v>
      </c>
      <c r="I7" s="37">
        <v>0</v>
      </c>
      <c r="J7" s="37">
        <v>0</v>
      </c>
      <c r="K7" s="39">
        <v>0</v>
      </c>
      <c r="L7" s="40">
        <f t="shared" si="5"/>
        <v>0</v>
      </c>
      <c r="M7" s="41">
        <v>0</v>
      </c>
      <c r="N7" s="40">
        <f t="shared" si="6"/>
        <v>0</v>
      </c>
      <c r="O7" s="42">
        <v>0</v>
      </c>
      <c r="P7" s="40">
        <f t="shared" si="7"/>
        <v>0</v>
      </c>
      <c r="Q7" s="43">
        <f t="shared" si="8"/>
        <v>0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2.75" customHeight="1">
      <c r="A8" s="1">
        <f t="shared" si="9"/>
        <v>4</v>
      </c>
      <c r="B8" s="33" t="inlineStr">
        <is>
          <t>Christian F Baena</t>
        </is>
      </c>
      <c r="C8" s="34">
        <v>19</v>
      </c>
      <c r="D8" s="35">
        <f t="shared" si="1"/>
        <v>0</v>
      </c>
      <c r="E8" s="36">
        <f t="shared" si="2"/>
        <v>0</v>
      </c>
      <c r="F8" s="37">
        <f t="shared" si="3"/>
        <v>0</v>
      </c>
      <c r="G8" s="38">
        <v>0</v>
      </c>
      <c r="H8" s="45">
        <v>0</v>
      </c>
      <c r="I8" s="45">
        <v>0</v>
      </c>
      <c r="J8" s="45">
        <v>0</v>
      </c>
      <c r="K8" s="46">
        <v>0</v>
      </c>
      <c r="L8" s="40">
        <f t="shared" si="5"/>
        <v>0</v>
      </c>
      <c r="M8" s="47">
        <v>0</v>
      </c>
      <c r="N8" s="40">
        <f t="shared" si="6"/>
        <v>0</v>
      </c>
      <c r="O8" s="48">
        <v>0</v>
      </c>
      <c r="P8" s="40">
        <f t="shared" si="7"/>
        <v>0</v>
      </c>
      <c r="Q8" s="43">
        <f t="shared" si="8"/>
        <v>0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2.75" customHeight="1">
      <c r="A9" s="1">
        <v>2.0</v>
      </c>
      <c r="B9" s="44" t="inlineStr">
        <is>
          <t>Christian M Font</t>
        </is>
      </c>
      <c r="C9" s="34">
        <v>19</v>
      </c>
      <c r="D9" s="35">
        <f t="shared" si="1"/>
        <v>0</v>
      </c>
      <c r="E9" s="36">
        <f t="shared" si="2"/>
        <v>0</v>
      </c>
      <c r="F9" s="37">
        <f t="shared" si="3"/>
        <v>0</v>
      </c>
      <c r="G9" s="38">
        <v>82</v>
      </c>
      <c r="H9" s="45">
        <v>82</v>
      </c>
      <c r="I9" s="45">
        <v>0</v>
      </c>
      <c r="J9" s="45">
        <v>0</v>
      </c>
      <c r="K9" s="46">
        <v>26.5</v>
      </c>
      <c r="L9" s="40">
        <f t="shared" si="5"/>
        <v>0</v>
      </c>
      <c r="M9" s="47">
        <v>8</v>
      </c>
      <c r="N9" s="40">
        <f t="shared" si="6"/>
        <v>0</v>
      </c>
      <c r="O9" s="48">
        <v>0</v>
      </c>
      <c r="P9" s="40">
        <f t="shared" si="7"/>
        <v>0</v>
      </c>
      <c r="Q9" s="43">
        <f t="shared" si="8"/>
        <v>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2.75" customHeight="1">
      <c r="A10" s="1">
        <f t="shared" ref="A10:A24" si="10">A9+1</f>
        <v>3</v>
      </c>
      <c r="B10" s="33" t="inlineStr">
        <is>
          <t>Corio Jamal Vinson</t>
        </is>
      </c>
      <c r="C10" s="34">
        <v>18</v>
      </c>
      <c r="D10" s="35">
        <f t="shared" si="1"/>
        <v>0</v>
      </c>
      <c r="E10" s="36">
        <f t="shared" si="2"/>
        <v>0</v>
      </c>
      <c r="F10" s="37">
        <f t="shared" si="3"/>
        <v>0</v>
      </c>
      <c r="G10" s="38">
        <v>0</v>
      </c>
      <c r="H10" s="45">
        <v>0</v>
      </c>
      <c r="I10" s="45">
        <v>0</v>
      </c>
      <c r="J10" s="45">
        <v>0</v>
      </c>
      <c r="K10" s="46">
        <v>0</v>
      </c>
      <c r="L10" s="40">
        <f t="shared" si="5"/>
        <v>0</v>
      </c>
      <c r="M10" s="47">
        <v>0</v>
      </c>
      <c r="N10" s="40">
        <f t="shared" si="6"/>
        <v>0</v>
      </c>
      <c r="O10" s="48">
        <v>0</v>
      </c>
      <c r="P10" s="40">
        <f t="shared" si="7"/>
        <v>0</v>
      </c>
      <c r="Q10" s="43">
        <f t="shared" si="8"/>
        <v>0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2.75" customHeight="1">
      <c r="A11" s="1">
        <f t="shared" si="10"/>
        <v>4</v>
      </c>
      <c r="B11" s="44" t="inlineStr">
        <is>
          <t>Daniel Richiez</t>
        </is>
      </c>
      <c r="C11" s="34">
        <v>19</v>
      </c>
      <c r="D11" s="35">
        <f t="shared" si="1"/>
        <v>0</v>
      </c>
      <c r="E11" s="36">
        <f t="shared" si="2"/>
        <v>0</v>
      </c>
      <c r="F11" s="37">
        <f t="shared" si="3"/>
        <v>0</v>
      </c>
      <c r="G11" s="38">
        <v>0</v>
      </c>
      <c r="H11" s="45">
        <v>0</v>
      </c>
      <c r="I11" s="45">
        <v>0</v>
      </c>
      <c r="J11" s="45">
        <v>0</v>
      </c>
      <c r="K11" s="46">
        <v>33</v>
      </c>
      <c r="L11" s="40">
        <f t="shared" si="5"/>
        <v>0</v>
      </c>
      <c r="M11" s="47">
        <v>7</v>
      </c>
      <c r="N11" s="40">
        <f t="shared" si="6"/>
        <v>0</v>
      </c>
      <c r="O11" s="48">
        <v>0</v>
      </c>
      <c r="P11" s="40">
        <f t="shared" si="7"/>
        <v>0</v>
      </c>
      <c r="Q11" s="43">
        <f t="shared" si="8"/>
        <v>0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2.75" customHeight="1">
      <c r="A12" s="1">
        <f t="shared" si="10"/>
        <v>5</v>
      </c>
      <c r="B12" s="44" t="inlineStr">
        <is>
          <t>Daniil Eremenkov</t>
        </is>
      </c>
      <c r="C12" s="34">
        <v>19</v>
      </c>
      <c r="D12" s="35">
        <f t="shared" si="1"/>
        <v>0</v>
      </c>
      <c r="E12" s="36">
        <f t="shared" si="2"/>
        <v>0</v>
      </c>
      <c r="F12" s="37">
        <f t="shared" si="3"/>
        <v>0</v>
      </c>
      <c r="G12" s="38">
        <v>0</v>
      </c>
      <c r="H12" s="45">
        <v>0</v>
      </c>
      <c r="I12" s="45">
        <v>0</v>
      </c>
      <c r="J12" s="45">
        <v>0</v>
      </c>
      <c r="K12" s="46">
        <v>0</v>
      </c>
      <c r="L12" s="40">
        <f t="shared" si="5"/>
        <v>0</v>
      </c>
      <c r="M12" s="47">
        <v>0</v>
      </c>
      <c r="N12" s="40">
        <f t="shared" si="6"/>
        <v>0</v>
      </c>
      <c r="O12" s="48">
        <v>0</v>
      </c>
      <c r="P12" s="40">
        <f t="shared" si="7"/>
        <v>0</v>
      </c>
      <c r="Q12" s="43">
        <f t="shared" si="8"/>
        <v>0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2.75" customHeight="1">
      <c r="A13" s="1">
        <f t="shared" si="10"/>
        <v>6</v>
      </c>
      <c r="B13" s="33" t="inlineStr">
        <is>
          <t>Danylo Chernysh</t>
        </is>
      </c>
      <c r="C13" s="34">
        <v>18</v>
      </c>
      <c r="D13" s="35">
        <f t="shared" si="1"/>
        <v>0</v>
      </c>
      <c r="E13" s="36">
        <f t="shared" si="2"/>
        <v>0</v>
      </c>
      <c r="F13" s="37">
        <f t="shared" si="3"/>
        <v>0</v>
      </c>
      <c r="G13" s="38">
        <v>0</v>
      </c>
      <c r="H13" s="45">
        <v>0</v>
      </c>
      <c r="I13" s="45">
        <v>0</v>
      </c>
      <c r="J13" s="45">
        <v>0</v>
      </c>
      <c r="K13" s="46">
        <v>27.25</v>
      </c>
      <c r="L13" s="40">
        <f t="shared" si="5"/>
        <v>0</v>
      </c>
      <c r="M13" s="47">
        <v>6</v>
      </c>
      <c r="N13" s="40">
        <f t="shared" si="6"/>
        <v>0</v>
      </c>
      <c r="O13" s="48">
        <v>0</v>
      </c>
      <c r="P13" s="40">
        <f t="shared" si="7"/>
        <v>0</v>
      </c>
      <c r="Q13" s="43">
        <f t="shared" si="8"/>
        <v>0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2.75" customHeight="1">
      <c r="A14" s="1">
        <f t="shared" si="10"/>
        <v>7</v>
      </c>
      <c r="B14" s="44" t="inlineStr">
        <is>
          <t>David Torres</t>
        </is>
      </c>
      <c r="C14" s="34">
        <v>18</v>
      </c>
      <c r="D14" s="35">
        <f t="shared" si="1"/>
        <v>0</v>
      </c>
      <c r="E14" s="36">
        <f t="shared" si="2"/>
        <v>0</v>
      </c>
      <c r="F14" s="37">
        <f t="shared" si="3"/>
        <v>0</v>
      </c>
      <c r="G14" s="38">
        <v>0</v>
      </c>
      <c r="H14" s="45">
        <v>0</v>
      </c>
      <c r="I14" s="45">
        <v>0</v>
      </c>
      <c r="J14" s="45">
        <v>0</v>
      </c>
      <c r="K14" s="46">
        <v>23</v>
      </c>
      <c r="L14" s="40">
        <v>0.0</v>
      </c>
      <c r="M14" s="47">
        <v>13.5</v>
      </c>
      <c r="N14" s="40">
        <f t="shared" si="6"/>
        <v>0</v>
      </c>
      <c r="O14" s="48">
        <v>0</v>
      </c>
      <c r="P14" s="40">
        <f t="shared" si="7"/>
        <v>0</v>
      </c>
      <c r="Q14" s="43">
        <f t="shared" si="8"/>
        <v>0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2.75" customHeight="1">
      <c r="A15" s="1">
        <f t="shared" si="10"/>
        <v>8</v>
      </c>
      <c r="B15" s="44" t="inlineStr">
        <is>
          <t>Efrain Gongora</t>
        </is>
      </c>
      <c r="C15" s="34">
        <v>19</v>
      </c>
      <c r="D15" s="35">
        <f t="shared" si="1"/>
        <v>0</v>
      </c>
      <c r="E15" s="36">
        <f t="shared" si="2"/>
        <v>0</v>
      </c>
      <c r="F15" s="37">
        <f t="shared" si="3"/>
        <v>0</v>
      </c>
      <c r="G15" s="38">
        <v>0</v>
      </c>
      <c r="H15" s="45">
        <v>0</v>
      </c>
      <c r="I15" s="45">
        <v>0</v>
      </c>
      <c r="J15" s="45">
        <v>0</v>
      </c>
      <c r="K15" s="46">
        <v>0</v>
      </c>
      <c r="L15" s="40">
        <f t="shared" ref="L15:L25" si="11">IFERROR(K15/Q15,0)</f>
        <v>0</v>
      </c>
      <c r="M15" s="47">
        <v>0</v>
      </c>
      <c r="N15" s="40">
        <f t="shared" si="6"/>
        <v>0</v>
      </c>
      <c r="O15" s="48">
        <v>0</v>
      </c>
      <c r="P15" s="40">
        <f t="shared" si="7"/>
        <v>0</v>
      </c>
      <c r="Q15" s="43">
        <f t="shared" si="8"/>
        <v>0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2.75" customHeight="1">
      <c r="A16" s="1">
        <f t="shared" si="10"/>
        <v>9</v>
      </c>
      <c r="B16" s="44" t="inlineStr">
        <is>
          <t>Farukh Baymatov</t>
        </is>
      </c>
      <c r="C16" s="34">
        <v>20</v>
      </c>
      <c r="D16" s="35">
        <f t="shared" si="1"/>
        <v>0</v>
      </c>
      <c r="E16" s="36">
        <f t="shared" si="2"/>
        <v>0</v>
      </c>
      <c r="F16" s="37">
        <f t="shared" si="3"/>
        <v>0</v>
      </c>
      <c r="G16" s="38">
        <v>108.5</v>
      </c>
      <c r="H16" s="45">
        <v>108.5</v>
      </c>
      <c r="I16" s="45">
        <v>0</v>
      </c>
      <c r="J16" s="45">
        <v>0</v>
      </c>
      <c r="K16" s="46">
        <v>26.75</v>
      </c>
      <c r="L16" s="40">
        <f t="shared" si="11"/>
        <v>0</v>
      </c>
      <c r="M16" s="47">
        <v>7</v>
      </c>
      <c r="N16" s="40">
        <f t="shared" si="6"/>
        <v>0</v>
      </c>
      <c r="O16" s="48">
        <v>0</v>
      </c>
      <c r="P16" s="40">
        <f t="shared" si="7"/>
        <v>0</v>
      </c>
      <c r="Q16" s="43">
        <f t="shared" si="8"/>
        <v>0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2.75" customHeight="1">
      <c r="A17" s="1">
        <f t="shared" si="10"/>
        <v>10</v>
      </c>
      <c r="B17" s="33" t="inlineStr">
        <is>
          <t>Jimmy K Crawford</t>
        </is>
      </c>
      <c r="C17" s="34">
        <v>17</v>
      </c>
      <c r="D17" s="35">
        <f t="shared" si="1"/>
        <v>0</v>
      </c>
      <c r="E17" s="36">
        <f t="shared" si="2"/>
        <v>0</v>
      </c>
      <c r="F17" s="37">
        <f t="shared" si="3"/>
        <v>0</v>
      </c>
      <c r="G17" s="38">
        <v>0</v>
      </c>
      <c r="H17" s="45">
        <v>0</v>
      </c>
      <c r="I17" s="45">
        <v>0</v>
      </c>
      <c r="J17" s="45">
        <v>0</v>
      </c>
      <c r="K17" s="46">
        <v>18</v>
      </c>
      <c r="L17" s="40">
        <f t="shared" si="11"/>
        <v>0</v>
      </c>
      <c r="M17" s="47">
        <v>14.75</v>
      </c>
      <c r="N17" s="40">
        <f t="shared" si="6"/>
        <v>0</v>
      </c>
      <c r="O17" s="48">
        <v>0</v>
      </c>
      <c r="P17" s="40">
        <f t="shared" si="7"/>
        <v>0</v>
      </c>
      <c r="Q17" s="43">
        <f t="shared" si="8"/>
        <v>0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2.75" customHeight="1">
      <c r="A18" s="1">
        <f t="shared" si="10"/>
        <v>11</v>
      </c>
      <c r="B18" s="33" t="inlineStr">
        <is>
          <t>John Velez</t>
        </is>
      </c>
      <c r="C18" s="34">
        <v>20</v>
      </c>
      <c r="D18" s="35">
        <f t="shared" si="1"/>
        <v>0</v>
      </c>
      <c r="E18" s="36">
        <f t="shared" si="2"/>
        <v>0</v>
      </c>
      <c r="F18" s="37">
        <f t="shared" si="3"/>
        <v>0</v>
      </c>
      <c r="G18" s="38">
        <v>0</v>
      </c>
      <c r="H18" s="45">
        <v>0</v>
      </c>
      <c r="I18" s="45">
        <v>0</v>
      </c>
      <c r="J18" s="45">
        <v>0</v>
      </c>
      <c r="K18" s="46">
        <v>6</v>
      </c>
      <c r="L18" s="40">
        <f t="shared" si="11"/>
        <v>0</v>
      </c>
      <c r="M18" s="47">
        <v>0</v>
      </c>
      <c r="N18" s="40">
        <f t="shared" si="6"/>
        <v>0</v>
      </c>
      <c r="O18" s="48">
        <v>0</v>
      </c>
      <c r="P18" s="40">
        <f t="shared" si="7"/>
        <v>0</v>
      </c>
      <c r="Q18" s="43">
        <f t="shared" si="8"/>
        <v>0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2.75" customHeight="1">
      <c r="A19" s="1">
        <f t="shared" si="10"/>
        <v>12</v>
      </c>
      <c r="B19" s="44" t="inlineStr">
        <is>
          <t>Maksim Ivashchanka</t>
        </is>
      </c>
      <c r="C19" s="34">
        <v>19</v>
      </c>
      <c r="D19" s="35">
        <f t="shared" si="1"/>
        <v>0</v>
      </c>
      <c r="E19" s="36">
        <f t="shared" si="2"/>
        <v>0</v>
      </c>
      <c r="F19" s="37">
        <f t="shared" si="3"/>
        <v>0</v>
      </c>
      <c r="G19" s="38">
        <v>21.2</v>
      </c>
      <c r="H19" s="37">
        <v>21.2</v>
      </c>
      <c r="I19" s="37">
        <v>0</v>
      </c>
      <c r="J19" s="37">
        <v>0</v>
      </c>
      <c r="K19" s="39">
        <v>11</v>
      </c>
      <c r="L19" s="40">
        <f t="shared" si="11"/>
        <v>0</v>
      </c>
      <c r="M19" s="41">
        <v>5</v>
      </c>
      <c r="N19" s="40">
        <f t="shared" si="6"/>
        <v>0</v>
      </c>
      <c r="O19" s="42">
        <v>0</v>
      </c>
      <c r="P19" s="40">
        <f t="shared" si="7"/>
        <v>0</v>
      </c>
      <c r="Q19" s="43">
        <f t="shared" si="8"/>
        <v>0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2.75" customHeight="1">
      <c r="A20" s="1">
        <f t="shared" si="10"/>
        <v>13</v>
      </c>
      <c r="B20" s="33" t="inlineStr">
        <is>
          <t>Maksym Lelytsia</t>
        </is>
      </c>
      <c r="C20" s="34">
        <v>17</v>
      </c>
      <c r="D20" s="35">
        <f t="shared" si="1"/>
        <v>0</v>
      </c>
      <c r="E20" s="36">
        <f t="shared" si="2"/>
        <v>0</v>
      </c>
      <c r="F20" s="37">
        <f t="shared" si="3"/>
        <v>0</v>
      </c>
      <c r="G20" s="38">
        <v>0</v>
      </c>
      <c r="H20" s="37">
        <v>0</v>
      </c>
      <c r="I20" s="37">
        <v>0</v>
      </c>
      <c r="J20" s="37">
        <v>0</v>
      </c>
      <c r="K20" s="39">
        <v>0</v>
      </c>
      <c r="L20" s="40">
        <f t="shared" si="11"/>
        <v>0</v>
      </c>
      <c r="M20" s="41">
        <v>0</v>
      </c>
      <c r="N20" s="40">
        <f t="shared" si="6"/>
        <v>0</v>
      </c>
      <c r="O20" s="42">
        <v>0</v>
      </c>
      <c r="P20" s="40">
        <f t="shared" si="7"/>
        <v>0</v>
      </c>
      <c r="Q20" s="43">
        <f t="shared" si="8"/>
        <v>0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2.75" customHeight="1">
      <c r="A21" s="1">
        <f t="shared" si="10"/>
        <v>14</v>
      </c>
      <c r="B21" s="33" t="inlineStr">
        <is>
          <t>Sandesh Purja</t>
        </is>
      </c>
      <c r="C21" s="34">
        <v>17</v>
      </c>
      <c r="D21" s="35">
        <f t="shared" si="1"/>
        <v>0</v>
      </c>
      <c r="E21" s="36">
        <f t="shared" si="2"/>
        <v>0</v>
      </c>
      <c r="F21" s="37">
        <f t="shared" si="3"/>
        <v>0</v>
      </c>
      <c r="G21" s="38">
        <v>0</v>
      </c>
      <c r="H21" s="37">
        <v>0</v>
      </c>
      <c r="I21" s="37">
        <v>0</v>
      </c>
      <c r="J21" s="37">
        <v>0</v>
      </c>
      <c r="K21" s="39">
        <v>19</v>
      </c>
      <c r="L21" s="40">
        <f t="shared" si="11"/>
        <v>0</v>
      </c>
      <c r="M21" s="41">
        <v>0</v>
      </c>
      <c r="N21" s="40">
        <f t="shared" si="6"/>
        <v>0</v>
      </c>
      <c r="O21" s="42">
        <v>0</v>
      </c>
      <c r="P21" s="40">
        <f t="shared" si="7"/>
        <v>0</v>
      </c>
      <c r="Q21" s="43">
        <f t="shared" si="8"/>
        <v>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2.75" customHeight="1">
      <c r="A22" s="1">
        <f t="shared" si="10"/>
        <v>15</v>
      </c>
      <c r="B22" s="33" t="inlineStr">
        <is>
          <t>Sonam Sherpa</t>
        </is>
      </c>
      <c r="C22" s="34">
        <v>16.5</v>
      </c>
      <c r="D22" s="35">
        <f t="shared" si="1"/>
        <v>0</v>
      </c>
      <c r="E22" s="36">
        <f t="shared" si="2"/>
        <v>0</v>
      </c>
      <c r="F22" s="37">
        <f t="shared" si="3"/>
        <v>0</v>
      </c>
      <c r="G22" s="38">
        <v>0</v>
      </c>
      <c r="H22" s="37">
        <v>0</v>
      </c>
      <c r="I22" s="37">
        <v>0</v>
      </c>
      <c r="J22" s="37">
        <v>0</v>
      </c>
      <c r="K22" s="39">
        <v>0</v>
      </c>
      <c r="L22" s="40">
        <f t="shared" si="11"/>
        <v>0</v>
      </c>
      <c r="M22" s="41">
        <v>0</v>
      </c>
      <c r="N22" s="40">
        <f t="shared" si="6"/>
        <v>0</v>
      </c>
      <c r="O22" s="42">
        <v>0</v>
      </c>
      <c r="P22" s="40">
        <f t="shared" si="7"/>
        <v>0</v>
      </c>
      <c r="Q22" s="43">
        <f t="shared" si="8"/>
        <v>0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2.75" customHeight="1">
      <c r="A23" s="1">
        <f t="shared" si="10"/>
        <v>16</v>
      </c>
      <c r="B23" s="33" t="inlineStr">
        <is>
          <t>Surya Hamal</t>
        </is>
      </c>
      <c r="C23" s="34">
        <v>17</v>
      </c>
      <c r="D23" s="35">
        <f t="shared" si="1"/>
        <v>0</v>
      </c>
      <c r="E23" s="36">
        <f t="shared" si="2"/>
        <v>0</v>
      </c>
      <c r="F23" s="37">
        <f t="shared" si="3"/>
        <v>0</v>
      </c>
      <c r="G23" s="38">
        <v>0</v>
      </c>
      <c r="H23" s="37">
        <v>0</v>
      </c>
      <c r="I23" s="37">
        <v>0</v>
      </c>
      <c r="J23" s="37">
        <v>0</v>
      </c>
      <c r="K23" s="39">
        <v>0</v>
      </c>
      <c r="L23" s="40">
        <f t="shared" si="11"/>
        <v>0</v>
      </c>
      <c r="M23" s="41">
        <v>0</v>
      </c>
      <c r="N23" s="40">
        <f t="shared" si="6"/>
        <v>0</v>
      </c>
      <c r="O23" s="42">
        <v>0</v>
      </c>
      <c r="P23" s="40">
        <f t="shared" si="7"/>
        <v>0</v>
      </c>
      <c r="Q23" s="43">
        <f t="shared" si="8"/>
        <v>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2.75" customHeight="1">
      <c r="A24" s="1">
        <f t="shared" si="10"/>
        <v>17</v>
      </c>
      <c r="B24" s="33" t="inlineStr">
        <is>
          <t>Terry R Maynard</t>
        </is>
      </c>
      <c r="C24" s="49">
        <v>18</v>
      </c>
      <c r="D24" s="35">
        <f t="shared" si="1"/>
        <v>0</v>
      </c>
      <c r="E24" s="36">
        <f t="shared" si="2"/>
        <v>0</v>
      </c>
      <c r="F24" s="37">
        <f t="shared" si="3"/>
        <v>0</v>
      </c>
      <c r="G24" s="38">
        <v>0</v>
      </c>
      <c r="H24" s="50">
        <v>0</v>
      </c>
      <c r="I24" s="50">
        <v>0</v>
      </c>
      <c r="J24" s="50">
        <v>0</v>
      </c>
      <c r="K24" s="51">
        <v>0</v>
      </c>
      <c r="L24" s="40">
        <f t="shared" si="11"/>
        <v>0</v>
      </c>
      <c r="M24" s="52">
        <v>0</v>
      </c>
      <c r="N24" s="40">
        <f t="shared" si="6"/>
        <v>0</v>
      </c>
      <c r="O24" s="53">
        <v>0</v>
      </c>
      <c r="P24" s="40">
        <f t="shared" si="7"/>
        <v>0</v>
      </c>
      <c r="Q24" s="43">
        <f t="shared" si="8"/>
        <v>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2.75" customHeight="1">
      <c r="A25" s="1">
        <f>1+A24</f>
        <v>18</v>
      </c>
      <c r="B25" s="54" t="inlineStr">
        <is>
          <t/>
        </is>
      </c>
      <c r="C25" s="55">
        <v>0</v>
      </c>
      <c r="D25" s="56">
        <f t="shared" si="1"/>
        <v>0</v>
      </c>
      <c r="E25" s="57">
        <f t="shared" si="2"/>
        <v>0</v>
      </c>
      <c r="F25" s="57">
        <f t="shared" si="3"/>
        <v>0</v>
      </c>
      <c r="G25" s="58">
        <v>0</v>
      </c>
      <c r="H25" s="57">
        <v>0</v>
      </c>
      <c r="I25" s="57">
        <v>0</v>
      </c>
      <c r="J25" s="57">
        <v>0</v>
      </c>
      <c r="K25" s="59">
        <v>0</v>
      </c>
      <c r="L25" s="60">
        <f t="shared" si="11"/>
        <v>0</v>
      </c>
      <c r="M25" s="61">
        <v>0</v>
      </c>
      <c r="N25" s="60">
        <f t="shared" si="6"/>
        <v>0</v>
      </c>
      <c r="O25" s="62">
        <v>0</v>
      </c>
      <c r="P25" s="60">
        <f t="shared" si="7"/>
        <v>0</v>
      </c>
      <c r="Q25" s="63">
        <f t="shared" si="8"/>
        <v>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2.75" customHeight="1">
      <c r="A26" s="16"/>
      <c r="B26" s="64" t="s">
        <v>33</v>
      </c>
      <c r="C26" s="65"/>
      <c r="D26" s="66">
        <f t="shared" ref="D26:K26" si="12">SUM(D5:D25)</f>
        <v>0</v>
      </c>
      <c r="E26" s="67">
        <f t="shared" si="12"/>
        <v>0</v>
      </c>
      <c r="F26" s="67">
        <f t="shared" si="12"/>
        <v>0</v>
      </c>
      <c r="G26" s="68">
        <f t="shared" si="12"/>
        <v>0</v>
      </c>
      <c r="H26" s="67">
        <f t="shared" si="12"/>
        <v>0</v>
      </c>
      <c r="I26" s="67">
        <f t="shared" si="12"/>
        <v>0</v>
      </c>
      <c r="J26" s="67">
        <f t="shared" si="12"/>
        <v>0</v>
      </c>
      <c r="K26" s="69">
        <f t="shared" si="12"/>
        <v>0</v>
      </c>
      <c r="L26" s="70" t="str">
        <f>K26/Q26</f>
        <v>#DIV/0!</v>
      </c>
      <c r="M26" s="69">
        <f>SUM(M5:M25)</f>
        <v>0</v>
      </c>
      <c r="N26" s="70" t="str">
        <f>M26/Q26</f>
        <v>#DIV/0!</v>
      </c>
      <c r="O26" s="69">
        <f>SUM(O5:O25)</f>
        <v>0</v>
      </c>
      <c r="P26" s="71" t="str">
        <f>O26/D26</f>
        <v>#DIV/0!</v>
      </c>
      <c r="Q26" s="72">
        <f>SUM(Q5:Q25)</f>
        <v>0</v>
      </c>
      <c r="R26" s="73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ht="12.75" customHeight="1">
      <c r="A27" s="1"/>
      <c r="B27" s="74" t="s">
        <v>34</v>
      </c>
      <c r="C27" s="2"/>
      <c r="D27" s="75"/>
      <c r="E27" s="2"/>
      <c r="F27" s="2"/>
      <c r="G27" s="4"/>
      <c r="H27" s="2"/>
      <c r="I27" s="2"/>
      <c r="J27" s="2"/>
      <c r="K27" s="76"/>
      <c r="L27" s="76"/>
      <c r="M27" s="76"/>
      <c r="N27" s="76"/>
      <c r="O27" s="76"/>
      <c r="P27" s="76"/>
      <c r="Q27" s="76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2.75" customHeight="1">
      <c r="A28" s="1"/>
      <c r="B28" s="6" t="s">
        <v>35</v>
      </c>
      <c r="C28" s="2"/>
      <c r="D28" s="75"/>
      <c r="E28" s="77">
        <f>E26+G26</f>
        <v>0</v>
      </c>
      <c r="F28" s="77"/>
      <c r="G28" s="78">
        <f>SUM(H28:J28)/1.18</f>
        <v>0</v>
      </c>
      <c r="H28" s="79">
        <f t="shared" ref="H28:J28" si="13">H26*1.18</f>
        <v>0</v>
      </c>
      <c r="I28" s="79">
        <f t="shared" si="13"/>
        <v>0</v>
      </c>
      <c r="J28" s="79">
        <f t="shared" si="13"/>
        <v>0</v>
      </c>
      <c r="K28" s="80" t="str">
        <f>E26*L26*1.18</f>
        <v>#DIV/0!</v>
      </c>
      <c r="L28" s="81"/>
      <c r="M28" s="82" t="str">
        <f>E26*N26*1.18</f>
        <v>#DIV/0!</v>
      </c>
      <c r="N28" s="83"/>
      <c r="O28" s="82" t="str">
        <f>E26*P26*1.18</f>
        <v>#DIV/0!</v>
      </c>
      <c r="P28" s="83"/>
      <c r="Q28" s="84" t="str">
        <f>(K28+M28+O28)/1.18</f>
        <v>#DIV/0!</v>
      </c>
      <c r="R28" s="85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2.75" customHeight="1">
      <c r="A29" s="1"/>
      <c r="B29" s="86"/>
      <c r="C29" s="2"/>
      <c r="D29" s="75"/>
      <c r="E29" s="77" t="str">
        <f>G28+Q28</f>
        <v>#DIV/0!</v>
      </c>
      <c r="F29" s="2"/>
      <c r="G29" s="4"/>
      <c r="H29" s="85"/>
      <c r="I29" s="85"/>
      <c r="J29" s="85"/>
      <c r="K29" s="87"/>
      <c r="L29" s="88"/>
      <c r="M29" s="87"/>
      <c r="N29" s="88"/>
      <c r="O29" s="87"/>
      <c r="P29" s="88"/>
      <c r="Q29" s="8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2.75" customHeight="1">
      <c r="A30" s="1"/>
      <c r="B30" s="86"/>
      <c r="C30" s="2"/>
      <c r="D30" s="75"/>
      <c r="E30" s="2"/>
      <c r="F30" s="2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2.75" customHeight="1">
      <c r="A31" s="1"/>
      <c r="B31" s="2"/>
      <c r="C31" s="2"/>
      <c r="D31" s="75"/>
      <c r="E31" s="2"/>
      <c r="F31" s="2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2.75" customHeight="1">
      <c r="A32" s="16"/>
      <c r="B32" s="89" t="s">
        <v>36</v>
      </c>
      <c r="C32" s="90"/>
      <c r="D32" s="91"/>
      <c r="E32" s="92"/>
      <c r="F32" s="92"/>
      <c r="G32" s="93"/>
      <c r="H32" s="92"/>
      <c r="I32" s="92"/>
      <c r="J32" s="92"/>
      <c r="K32" s="92"/>
      <c r="L32" s="92"/>
      <c r="M32" s="92"/>
      <c r="N32" s="92"/>
      <c r="O32" s="92"/>
      <c r="P32" s="92"/>
      <c r="Q32" s="94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 ht="12.75" customHeight="1">
      <c r="A33" s="1"/>
      <c r="B33" s="23" t="inlineStr">
        <is>
          <t>David E Aubert</t>
        </is>
      </c>
      <c r="C33" s="95">
        <v>17</v>
      </c>
      <c r="D33" s="96">
        <f t="shared" ref="D33:D39" si="14">Q33</f>
        <v>0</v>
      </c>
      <c r="E33" s="26">
        <f t="shared" ref="E33:E39" si="15">IF(D33&gt;40,(D33-40)*(C33*1.5)+(C33*40),D33*C33)</f>
        <v>0</v>
      </c>
      <c r="F33" s="97">
        <f t="shared" ref="F33:F39" si="16">IF(D33&gt;40,(D33-40)*(C33*0.5),0)</f>
        <v>0</v>
      </c>
      <c r="G33" s="27">
        <v>0</v>
      </c>
      <c r="H33" s="26">
        <v>0</v>
      </c>
      <c r="I33" s="26">
        <v>0</v>
      </c>
      <c r="J33" s="26">
        <v>0</v>
      </c>
      <c r="K33" s="31">
        <v>22</v>
      </c>
      <c r="L33" s="29">
        <f t="shared" ref="L33:L40" si="18">IFERROR(K33/Q33,0)</f>
        <v>0</v>
      </c>
      <c r="M33" s="31">
        <v>10.5</v>
      </c>
      <c r="N33" s="29">
        <f t="shared" ref="N33:N40" si="19">IFERROR(M33/Q33,0)</f>
        <v>0</v>
      </c>
      <c r="O33" s="31">
        <v>0</v>
      </c>
      <c r="P33" s="29">
        <f t="shared" ref="P33:P40" si="20">IFERROR(O33/Q33,0)</f>
        <v>0</v>
      </c>
      <c r="Q33" s="32">
        <f t="shared" ref="Q33:Q39" si="21">K33+M33+O33</f>
        <v>0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1">
        <v>1.0</v>
      </c>
      <c r="B34" s="98" t="inlineStr">
        <is>
          <t>Mamadou Yamar Diop</t>
        </is>
      </c>
      <c r="C34" s="99">
        <v>18</v>
      </c>
      <c r="D34" s="35">
        <f t="shared" si="14"/>
        <v>0</v>
      </c>
      <c r="E34" s="37">
        <f t="shared" si="15"/>
        <v>0</v>
      </c>
      <c r="F34" s="100">
        <f t="shared" si="16"/>
        <v>0</v>
      </c>
      <c r="G34" s="38">
        <v>0</v>
      </c>
      <c r="H34" s="37">
        <v>0</v>
      </c>
      <c r="I34" s="37">
        <v>0</v>
      </c>
      <c r="J34" s="37">
        <v>0</v>
      </c>
      <c r="K34" s="42">
        <v>0</v>
      </c>
      <c r="L34" s="40">
        <f t="shared" si="18"/>
        <v>0</v>
      </c>
      <c r="M34" s="42">
        <v>0</v>
      </c>
      <c r="N34" s="40">
        <f t="shared" si="19"/>
        <v>0</v>
      </c>
      <c r="O34" s="42">
        <v>0</v>
      </c>
      <c r="P34" s="40">
        <f t="shared" si="20"/>
        <v>0</v>
      </c>
      <c r="Q34" s="43">
        <f t="shared" si="21"/>
        <v>0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2.75" customHeight="1">
      <c r="A35" s="1">
        <v>2.0</v>
      </c>
      <c r="B35" s="33" t="inlineStr">
        <is>
          <t>Mario Gomez -2</t>
        </is>
      </c>
      <c r="C35" s="99">
        <v>15</v>
      </c>
      <c r="D35" s="35">
        <f t="shared" si="14"/>
        <v>0</v>
      </c>
      <c r="E35" s="37">
        <f t="shared" si="15"/>
        <v>0</v>
      </c>
      <c r="F35" s="100">
        <f t="shared" si="16"/>
        <v>0</v>
      </c>
      <c r="G35" s="38">
        <v>0</v>
      </c>
      <c r="H35" s="37">
        <v>0</v>
      </c>
      <c r="I35" s="37">
        <v>0</v>
      </c>
      <c r="J35" s="37">
        <v>0</v>
      </c>
      <c r="K35" s="42">
        <v>0</v>
      </c>
      <c r="L35" s="40">
        <f t="shared" si="18"/>
        <v>0</v>
      </c>
      <c r="M35" s="42">
        <v>0</v>
      </c>
      <c r="N35" s="40">
        <f t="shared" si="19"/>
        <v>0</v>
      </c>
      <c r="O35" s="42">
        <v>0</v>
      </c>
      <c r="P35" s="40">
        <f t="shared" si="20"/>
        <v>0</v>
      </c>
      <c r="Q35" s="43">
        <f t="shared" si="21"/>
        <v>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2.75" customHeight="1">
      <c r="A36" s="1">
        <f>1+A35</f>
        <v>3</v>
      </c>
      <c r="B36" s="33" t="inlineStr">
        <is>
          <t>Reginald Debson</t>
        </is>
      </c>
      <c r="C36" s="99">
        <v>21</v>
      </c>
      <c r="D36" s="35">
        <f t="shared" si="14"/>
        <v>0</v>
      </c>
      <c r="E36" s="37">
        <f t="shared" si="15"/>
        <v>0</v>
      </c>
      <c r="F36" s="100">
        <f t="shared" si="16"/>
        <v>0</v>
      </c>
      <c r="G36" s="38">
        <v>0</v>
      </c>
      <c r="H36" s="37">
        <v>0</v>
      </c>
      <c r="I36" s="37">
        <v>0</v>
      </c>
      <c r="J36" s="37">
        <v>0</v>
      </c>
      <c r="K36" s="42">
        <v>0</v>
      </c>
      <c r="L36" s="40">
        <f t="shared" si="18"/>
        <v>0</v>
      </c>
      <c r="M36" s="42">
        <v>0</v>
      </c>
      <c r="N36" s="40">
        <f t="shared" si="19"/>
        <v>0</v>
      </c>
      <c r="O36" s="42">
        <v>0</v>
      </c>
      <c r="P36" s="40">
        <f t="shared" si="20"/>
        <v>0</v>
      </c>
      <c r="Q36" s="43">
        <f t="shared" si="21"/>
        <v>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2.75" customHeight="1">
      <c r="A37" s="1">
        <v>3.0</v>
      </c>
      <c r="B37" s="33" t="inlineStr">
        <is>
          <t>Ron Cohen</t>
        </is>
      </c>
      <c r="C37" s="99">
        <v>16</v>
      </c>
      <c r="D37" s="35">
        <f t="shared" si="14"/>
        <v>0</v>
      </c>
      <c r="E37" s="37">
        <f t="shared" si="15"/>
        <v>0</v>
      </c>
      <c r="F37" s="100">
        <f t="shared" si="16"/>
        <v>0</v>
      </c>
      <c r="G37" s="38">
        <v>0</v>
      </c>
      <c r="H37" s="37">
        <v>0</v>
      </c>
      <c r="I37" s="37">
        <v>0</v>
      </c>
      <c r="J37" s="37">
        <v>0</v>
      </c>
      <c r="K37" s="42">
        <v>0</v>
      </c>
      <c r="L37" s="40">
        <f t="shared" si="18"/>
        <v>0</v>
      </c>
      <c r="M37" s="42">
        <v>0</v>
      </c>
      <c r="N37" s="40">
        <f t="shared" si="19"/>
        <v>0</v>
      </c>
      <c r="O37" s="42">
        <v>0</v>
      </c>
      <c r="P37" s="40">
        <f t="shared" si="20"/>
        <v>0</v>
      </c>
      <c r="Q37" s="43">
        <f t="shared" si="21"/>
        <v>0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2.75" customHeight="1">
      <c r="A38" s="1">
        <f>1+A37</f>
        <v>4</v>
      </c>
      <c r="B38" s="33" t="inlineStr">
        <is>
          <t/>
        </is>
      </c>
      <c r="C38" s="99">
        <v>0</v>
      </c>
      <c r="D38" s="35">
        <f t="shared" si="14"/>
        <v>0</v>
      </c>
      <c r="E38" s="37">
        <f t="shared" si="15"/>
        <v>0</v>
      </c>
      <c r="F38" s="100">
        <f t="shared" si="16"/>
        <v>0</v>
      </c>
      <c r="G38" s="38">
        <v>0</v>
      </c>
      <c r="H38" s="37">
        <v>0</v>
      </c>
      <c r="I38" s="37">
        <v>0</v>
      </c>
      <c r="J38" s="37">
        <v>0</v>
      </c>
      <c r="K38" s="42">
        <v>0</v>
      </c>
      <c r="L38" s="40">
        <f t="shared" si="18"/>
        <v>0</v>
      </c>
      <c r="M38" s="42">
        <v>0</v>
      </c>
      <c r="N38" s="40">
        <f t="shared" si="19"/>
        <v>0</v>
      </c>
      <c r="O38" s="42">
        <v>0</v>
      </c>
      <c r="P38" s="40">
        <f t="shared" si="20"/>
        <v>0</v>
      </c>
      <c r="Q38" s="43">
        <f t="shared" si="21"/>
        <v>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2.75" customHeight="1">
      <c r="A39" s="1"/>
      <c r="B39" s="44" t="inlineStr">
        <is>
          <t/>
        </is>
      </c>
      <c r="C39" s="99">
        <v>0</v>
      </c>
      <c r="D39" s="35">
        <f t="shared" si="14"/>
        <v>0</v>
      </c>
      <c r="E39" s="37">
        <f t="shared" si="15"/>
        <v>0</v>
      </c>
      <c r="F39" s="100">
        <f t="shared" si="16"/>
        <v>0</v>
      </c>
      <c r="G39" s="58">
        <v>0</v>
      </c>
      <c r="H39" s="57">
        <v>0</v>
      </c>
      <c r="I39" s="57">
        <v>0</v>
      </c>
      <c r="J39" s="57">
        <v>0</v>
      </c>
      <c r="K39" s="62">
        <v>0</v>
      </c>
      <c r="L39" s="60">
        <f t="shared" si="18"/>
        <v>0</v>
      </c>
      <c r="M39" s="62">
        <v>0</v>
      </c>
      <c r="N39" s="60">
        <f t="shared" si="19"/>
        <v>0</v>
      </c>
      <c r="O39" s="62">
        <v>0</v>
      </c>
      <c r="P39" s="60">
        <f t="shared" si="20"/>
        <v>0</v>
      </c>
      <c r="Q39" s="101">
        <f t="shared" si="21"/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2.75" customHeight="1">
      <c r="A40" s="16"/>
      <c r="B40" s="64" t="s">
        <v>2</v>
      </c>
      <c r="C40" s="65"/>
      <c r="D40" s="66">
        <f t="shared" ref="D40:K40" si="22">SUM(D33:D39)</f>
        <v>0</v>
      </c>
      <c r="E40" s="67">
        <f t="shared" si="22"/>
        <v>0</v>
      </c>
      <c r="F40" s="102">
        <f t="shared" si="22"/>
        <v>0</v>
      </c>
      <c r="G40" s="103">
        <f t="shared" si="22"/>
        <v>0</v>
      </c>
      <c r="H40" s="102">
        <f t="shared" si="22"/>
        <v>0</v>
      </c>
      <c r="I40" s="102">
        <f t="shared" si="22"/>
        <v>0</v>
      </c>
      <c r="J40" s="102">
        <f t="shared" si="22"/>
        <v>0</v>
      </c>
      <c r="K40" s="102">
        <f t="shared" si="22"/>
        <v>0</v>
      </c>
      <c r="L40" s="60">
        <f t="shared" si="18"/>
        <v>0</v>
      </c>
      <c r="M40" s="104">
        <f>SUM(M33:M39)</f>
        <v>0</v>
      </c>
      <c r="N40" s="60">
        <f t="shared" si="19"/>
        <v>0</v>
      </c>
      <c r="O40" s="104">
        <f>SUM(O33:O39)</f>
        <v>0</v>
      </c>
      <c r="P40" s="60">
        <f t="shared" si="20"/>
        <v>0</v>
      </c>
      <c r="Q40" s="105">
        <f>SUM(Q33:Q39)</f>
        <v>0</v>
      </c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 ht="12.75" customHeight="1">
      <c r="A41" s="1"/>
      <c r="B41" s="106" t="s">
        <v>34</v>
      </c>
      <c r="C41" s="2"/>
      <c r="D41" s="75"/>
      <c r="E41" s="107"/>
      <c r="F41" s="107"/>
      <c r="G41" s="108"/>
      <c r="H41" s="107"/>
      <c r="I41" s="107"/>
      <c r="J41" s="107"/>
      <c r="K41" s="76"/>
      <c r="L41" s="76"/>
      <c r="M41" s="76"/>
      <c r="N41" s="76"/>
      <c r="O41" s="76"/>
      <c r="P41" s="76"/>
      <c r="Q41" s="7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2.75" customHeight="1">
      <c r="A42" s="1"/>
      <c r="B42" s="6" t="s">
        <v>35</v>
      </c>
      <c r="C42" s="2"/>
      <c r="D42" s="75"/>
      <c r="E42" s="77">
        <f>E40+G40</f>
        <v>0</v>
      </c>
      <c r="F42" s="77"/>
      <c r="G42" s="78">
        <f>SUM(H42:J42)/1.24</f>
        <v>0</v>
      </c>
      <c r="H42" s="79">
        <f t="shared" ref="H42:J42" si="23">H40*1.24</f>
        <v>0</v>
      </c>
      <c r="I42" s="79">
        <f t="shared" si="23"/>
        <v>0</v>
      </c>
      <c r="J42" s="79">
        <f t="shared" si="23"/>
        <v>0</v>
      </c>
      <c r="K42" s="109">
        <f>SUMPRODUCT(E33:E39,L33:L39)*1.24</f>
        <v>0</v>
      </c>
      <c r="L42" s="110"/>
      <c r="M42" s="109">
        <f>SUMPRODUCT(E33:E39,N33:N39)*1.24</f>
        <v>0</v>
      </c>
      <c r="N42" s="110"/>
      <c r="O42" s="109">
        <f>SUMPRODUCT(E33:E39,P33:P39)*1.24</f>
        <v>0</v>
      </c>
      <c r="P42" s="110"/>
      <c r="Q42" s="111">
        <f>(K42+M42+O42)/1.24</f>
        <v>0</v>
      </c>
      <c r="R42" s="77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2.75" customHeight="1">
      <c r="A43" s="1"/>
      <c r="B43" s="86"/>
      <c r="C43" s="2"/>
      <c r="D43" s="75"/>
      <c r="E43" s="77">
        <f>G42+Q42</f>
        <v>0</v>
      </c>
      <c r="F43" s="107"/>
      <c r="G43" s="108"/>
      <c r="H43" s="107"/>
      <c r="I43" s="107"/>
      <c r="J43" s="107"/>
      <c r="K43" s="110"/>
      <c r="L43" s="110"/>
      <c r="M43" s="110"/>
      <c r="N43" s="110"/>
      <c r="O43" s="110"/>
      <c r="P43" s="110"/>
      <c r="Q43" s="110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2.75" customHeight="1">
      <c r="A44" s="1"/>
      <c r="B44" s="86"/>
      <c r="C44" s="2"/>
      <c r="D44" s="75"/>
      <c r="E44" s="77"/>
      <c r="F44" s="107"/>
      <c r="G44" s="108"/>
      <c r="H44" s="107"/>
      <c r="I44" s="107"/>
      <c r="J44" s="107"/>
      <c r="K44" s="110"/>
      <c r="L44" s="110"/>
      <c r="M44" s="110"/>
      <c r="N44" s="110"/>
      <c r="O44" s="110"/>
      <c r="P44" s="77"/>
      <c r="Q44" s="110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2.75" customHeight="1">
      <c r="A45" s="1"/>
      <c r="B45" s="2"/>
      <c r="C45" s="2"/>
      <c r="D45" s="75"/>
      <c r="E45" s="2"/>
      <c r="F45" s="2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2.75" customHeight="1">
      <c r="A46" s="16"/>
      <c r="B46" s="89" t="s">
        <v>42</v>
      </c>
      <c r="C46" s="112"/>
      <c r="D46" s="113"/>
      <c r="E46" s="112"/>
      <c r="F46" s="112"/>
      <c r="G46" s="114"/>
      <c r="H46" s="112"/>
      <c r="I46" s="112"/>
      <c r="J46" s="112"/>
      <c r="K46" s="115"/>
      <c r="L46" s="115"/>
      <c r="M46" s="115"/>
      <c r="N46" s="115"/>
      <c r="O46" s="115"/>
      <c r="P46" s="115"/>
      <c r="Q46" s="116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 ht="12.75" customHeight="1">
      <c r="A47" s="1">
        <v>1.0</v>
      </c>
      <c r="B47" s="117" t="inlineStr">
        <is>
          <t>Ang Sona Sherpa</t>
        </is>
      </c>
      <c r="C47" s="95">
        <v>17</v>
      </c>
      <c r="D47" s="118">
        <f t="shared" ref="D47:D56" si="24">Q47</f>
        <v>0</v>
      </c>
      <c r="E47" s="26">
        <f t="shared" ref="E47:E56" si="25">IF(D47&gt;40,(D47-40)*(C47*1.5)+(C47*40),D47*C47)</f>
        <v>0</v>
      </c>
      <c r="F47" s="119">
        <f t="shared" ref="F47:F56" si="26">IF(D47&gt;40,(D47-40)*(C47*0.5),0)</f>
        <v>0</v>
      </c>
      <c r="G47" s="27">
        <v>0</v>
      </c>
      <c r="H47" s="26">
        <v>0</v>
      </c>
      <c r="I47" s="26">
        <v>0</v>
      </c>
      <c r="J47" s="26">
        <v>0</v>
      </c>
      <c r="K47" s="31">
        <v>32</v>
      </c>
      <c r="L47" s="29">
        <f t="shared" ref="L47:L57" si="28">IFERROR(K47/Q47,0)</f>
        <v>0</v>
      </c>
      <c r="M47" s="31">
        <v>0</v>
      </c>
      <c r="N47" s="29">
        <f t="shared" ref="N47:N57" si="29">IFERROR(M47/Q47,0)</f>
        <v>0</v>
      </c>
      <c r="O47" s="31">
        <v>0</v>
      </c>
      <c r="P47" s="29">
        <f t="shared" ref="P47:P57" si="30">IFERROR(O47/Q47,0)</f>
        <v>0</v>
      </c>
      <c r="Q47" s="32">
        <f t="shared" ref="Q47:Q56" si="31">K47+M47+O47</f>
        <v>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2.75" customHeight="1">
      <c r="A48" s="1">
        <f>A47+1</f>
        <v>2</v>
      </c>
      <c r="B48" s="120" t="inlineStr">
        <is>
          <t>Fnu Rigjin Dawa</t>
        </is>
      </c>
      <c r="C48" s="99">
        <v>17</v>
      </c>
      <c r="D48" s="121">
        <f t="shared" si="24"/>
        <v>0</v>
      </c>
      <c r="E48" s="37">
        <f t="shared" si="25"/>
        <v>0</v>
      </c>
      <c r="F48" s="36">
        <f t="shared" si="26"/>
        <v>0</v>
      </c>
      <c r="G48" s="122">
        <v>0</v>
      </c>
      <c r="H48" s="37">
        <v>0</v>
      </c>
      <c r="I48" s="37">
        <v>0</v>
      </c>
      <c r="J48" s="37">
        <v>0</v>
      </c>
      <c r="K48" s="48">
        <v>40</v>
      </c>
      <c r="L48" s="123">
        <f t="shared" si="28"/>
        <v>0</v>
      </c>
      <c r="M48" s="48">
        <v>0</v>
      </c>
      <c r="N48" s="123">
        <f t="shared" si="29"/>
        <v>0</v>
      </c>
      <c r="O48" s="48">
        <v>0</v>
      </c>
      <c r="P48" s="123">
        <f t="shared" si="30"/>
        <v>0</v>
      </c>
      <c r="Q48" s="124">
        <f t="shared" si="31"/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2.75" customHeight="1">
      <c r="A49" s="1">
        <f t="shared" ref="A49:A56" si="32">1+A48</f>
        <v>3</v>
      </c>
      <c r="B49" s="120" t="inlineStr">
        <is>
          <t>Hishey L Lama</t>
        </is>
      </c>
      <c r="C49" s="99">
        <v>17</v>
      </c>
      <c r="D49" s="121">
        <f t="shared" si="24"/>
        <v>0</v>
      </c>
      <c r="E49" s="37">
        <f t="shared" si="25"/>
        <v>0</v>
      </c>
      <c r="F49" s="36">
        <f t="shared" si="26"/>
        <v>0</v>
      </c>
      <c r="G49" s="122">
        <v>0</v>
      </c>
      <c r="H49" s="37">
        <v>0</v>
      </c>
      <c r="I49" s="37">
        <v>0</v>
      </c>
      <c r="J49" s="37">
        <v>0</v>
      </c>
      <c r="K49" s="48">
        <v>6</v>
      </c>
      <c r="L49" s="123">
        <f t="shared" si="28"/>
        <v>0</v>
      </c>
      <c r="M49" s="48">
        <v>0</v>
      </c>
      <c r="N49" s="123">
        <f t="shared" si="29"/>
        <v>0</v>
      </c>
      <c r="O49" s="48">
        <v>10.5</v>
      </c>
      <c r="P49" s="123">
        <f t="shared" si="30"/>
        <v>0</v>
      </c>
      <c r="Q49" s="124">
        <f t="shared" si="31"/>
        <v>0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2.75" customHeight="1">
      <c r="A50" s="1">
        <f t="shared" si="32"/>
        <v>4</v>
      </c>
      <c r="B50" s="125" t="inlineStr">
        <is>
          <t>Kye DeVonte White</t>
        </is>
      </c>
      <c r="C50" s="99">
        <v>19</v>
      </c>
      <c r="D50" s="121">
        <f t="shared" si="24"/>
        <v>0</v>
      </c>
      <c r="E50" s="37">
        <f t="shared" si="25"/>
        <v>0</v>
      </c>
      <c r="F50" s="36">
        <f t="shared" si="26"/>
        <v>0</v>
      </c>
      <c r="G50" s="122">
        <v>0</v>
      </c>
      <c r="H50" s="37">
        <v>0</v>
      </c>
      <c r="I50" s="37">
        <v>0</v>
      </c>
      <c r="J50" s="37">
        <v>0</v>
      </c>
      <c r="K50" s="48">
        <v>15.5</v>
      </c>
      <c r="L50" s="123">
        <f t="shared" si="28"/>
        <v>0</v>
      </c>
      <c r="M50" s="48">
        <v>24.5</v>
      </c>
      <c r="N50" s="123">
        <f t="shared" si="29"/>
        <v>0</v>
      </c>
      <c r="O50" s="48">
        <v>0</v>
      </c>
      <c r="P50" s="123">
        <f t="shared" si="30"/>
        <v>0</v>
      </c>
      <c r="Q50" s="124">
        <f t="shared" si="31"/>
        <v>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2.75" customHeight="1">
      <c r="A51" s="1">
        <f t="shared" si="32"/>
        <v>5</v>
      </c>
      <c r="B51" s="125" t="inlineStr">
        <is>
          <t>Lakpa S Sherpa</t>
        </is>
      </c>
      <c r="C51" s="99">
        <v>18</v>
      </c>
      <c r="D51" s="121">
        <f t="shared" si="24"/>
        <v>0</v>
      </c>
      <c r="E51" s="37">
        <f t="shared" si="25"/>
        <v>0</v>
      </c>
      <c r="F51" s="36">
        <f t="shared" si="26"/>
        <v>0</v>
      </c>
      <c r="G51" s="122">
        <v>0</v>
      </c>
      <c r="H51" s="37">
        <v>0</v>
      </c>
      <c r="I51" s="37">
        <v>0</v>
      </c>
      <c r="J51" s="37">
        <v>0</v>
      </c>
      <c r="K51" s="48">
        <v>26.75</v>
      </c>
      <c r="L51" s="123">
        <f t="shared" si="28"/>
        <v>0</v>
      </c>
      <c r="M51" s="48">
        <v>6</v>
      </c>
      <c r="N51" s="123">
        <f t="shared" si="29"/>
        <v>0</v>
      </c>
      <c r="O51" s="48">
        <v>0</v>
      </c>
      <c r="P51" s="123">
        <f t="shared" si="30"/>
        <v>0</v>
      </c>
      <c r="Q51" s="124">
        <f t="shared" si="31"/>
        <v>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2.75" customHeight="1">
      <c r="A52" s="1">
        <f t="shared" si="32"/>
        <v>6</v>
      </c>
      <c r="B52" s="125" t="inlineStr">
        <is>
          <t>Mario J Gomez</t>
        </is>
      </c>
      <c r="C52" s="99">
        <v>20</v>
      </c>
      <c r="D52" s="121">
        <f t="shared" si="24"/>
        <v>0</v>
      </c>
      <c r="E52" s="37">
        <f t="shared" si="25"/>
        <v>0</v>
      </c>
      <c r="F52" s="36">
        <f t="shared" si="26"/>
        <v>0</v>
      </c>
      <c r="G52" s="122">
        <v>262</v>
      </c>
      <c r="H52" s="37">
        <v>262</v>
      </c>
      <c r="I52" s="37">
        <v>0</v>
      </c>
      <c r="J52" s="37">
        <v>0</v>
      </c>
      <c r="K52" s="48">
        <v>40</v>
      </c>
      <c r="L52" s="123">
        <f t="shared" si="28"/>
        <v>0</v>
      </c>
      <c r="M52" s="48">
        <v>0</v>
      </c>
      <c r="N52" s="123">
        <f t="shared" si="29"/>
        <v>0</v>
      </c>
      <c r="O52" s="48">
        <v>0</v>
      </c>
      <c r="P52" s="123">
        <f t="shared" si="30"/>
        <v>0</v>
      </c>
      <c r="Q52" s="124">
        <f t="shared" si="31"/>
        <v>0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2.75" customHeight="1">
      <c r="A53" s="1">
        <f t="shared" si="32"/>
        <v>7</v>
      </c>
      <c r="B53" s="125" t="inlineStr">
        <is>
          <t>Oleksii Danylenko</t>
        </is>
      </c>
      <c r="C53" s="99">
        <v>17</v>
      </c>
      <c r="D53" s="121">
        <f t="shared" si="24"/>
        <v>0</v>
      </c>
      <c r="E53" s="37">
        <f t="shared" si="25"/>
        <v>0</v>
      </c>
      <c r="F53" s="36">
        <f t="shared" si="26"/>
        <v>0</v>
      </c>
      <c r="G53" s="122">
        <v>0</v>
      </c>
      <c r="H53" s="37">
        <v>0</v>
      </c>
      <c r="I53" s="37">
        <v>0</v>
      </c>
      <c r="J53" s="37">
        <v>0</v>
      </c>
      <c r="K53" s="48">
        <v>17.75</v>
      </c>
      <c r="L53" s="123">
        <f t="shared" si="28"/>
        <v>0</v>
      </c>
      <c r="M53" s="48">
        <v>0</v>
      </c>
      <c r="N53" s="123">
        <f t="shared" si="29"/>
        <v>0</v>
      </c>
      <c r="O53" s="48">
        <v>0</v>
      </c>
      <c r="P53" s="123">
        <f t="shared" si="30"/>
        <v>0</v>
      </c>
      <c r="Q53" s="124">
        <f t="shared" si="31"/>
        <v>0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2.75" customHeight="1">
      <c r="A54" s="1">
        <f t="shared" si="32"/>
        <v>8</v>
      </c>
      <c r="B54" s="125" t="inlineStr">
        <is>
          <t>Sonam T Lama</t>
        </is>
      </c>
      <c r="C54" s="99">
        <v>17</v>
      </c>
      <c r="D54" s="121">
        <f t="shared" si="24"/>
        <v>0</v>
      </c>
      <c r="E54" s="37">
        <f t="shared" si="25"/>
        <v>0</v>
      </c>
      <c r="F54" s="36">
        <f t="shared" si="26"/>
        <v>0</v>
      </c>
      <c r="G54" s="122">
        <v>0</v>
      </c>
      <c r="H54" s="37">
        <v>0</v>
      </c>
      <c r="I54" s="37">
        <v>0</v>
      </c>
      <c r="J54" s="37">
        <v>0</v>
      </c>
      <c r="K54" s="48">
        <v>25.25</v>
      </c>
      <c r="L54" s="123">
        <f t="shared" si="28"/>
        <v>0</v>
      </c>
      <c r="M54" s="48">
        <v>0</v>
      </c>
      <c r="N54" s="123">
        <f t="shared" si="29"/>
        <v>0</v>
      </c>
      <c r="O54" s="48">
        <v>0</v>
      </c>
      <c r="P54" s="123">
        <f t="shared" si="30"/>
        <v>0</v>
      </c>
      <c r="Q54" s="124">
        <f t="shared" si="31"/>
        <v>0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2.75" customHeight="1">
      <c r="A55" s="1">
        <f t="shared" si="32"/>
        <v>9</v>
      </c>
      <c r="B55" s="120" t="inlineStr">
        <is>
          <t>Vincent Vails</t>
        </is>
      </c>
      <c r="C55" s="99">
        <v>17</v>
      </c>
      <c r="D55" s="121">
        <f t="shared" si="24"/>
        <v>0</v>
      </c>
      <c r="E55" s="37">
        <f t="shared" si="25"/>
        <v>0</v>
      </c>
      <c r="F55" s="100">
        <f t="shared" si="26"/>
        <v>0</v>
      </c>
      <c r="G55" s="126">
        <v>0</v>
      </c>
      <c r="H55" s="37">
        <v>0</v>
      </c>
      <c r="I55" s="37">
        <v>0</v>
      </c>
      <c r="J55" s="37">
        <v>0</v>
      </c>
      <c r="K55" s="48">
        <v>0</v>
      </c>
      <c r="L55" s="123">
        <f t="shared" si="28"/>
        <v>0</v>
      </c>
      <c r="M55" s="48">
        <v>0</v>
      </c>
      <c r="N55" s="123">
        <f t="shared" si="29"/>
        <v>0</v>
      </c>
      <c r="O55" s="48">
        <v>0</v>
      </c>
      <c r="P55" s="123">
        <f t="shared" si="30"/>
        <v>0</v>
      </c>
      <c r="Q55" s="124">
        <f t="shared" si="31"/>
        <v>0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2.75" customHeight="1">
      <c r="A56" s="1">
        <f t="shared" si="32"/>
        <v>10</v>
      </c>
      <c r="B56" s="125" t="inlineStr">
        <is>
          <t>Vladyslav Kandybiei</t>
        </is>
      </c>
      <c r="C56" s="99">
        <v>17</v>
      </c>
      <c r="D56" s="121">
        <f t="shared" si="24"/>
        <v>0</v>
      </c>
      <c r="E56" s="37">
        <f t="shared" si="25"/>
        <v>0</v>
      </c>
      <c r="F56" s="100">
        <f t="shared" si="26"/>
        <v>0</v>
      </c>
      <c r="G56" s="126">
        <v>0</v>
      </c>
      <c r="H56" s="50">
        <v>0</v>
      </c>
      <c r="I56" s="50">
        <v>0</v>
      </c>
      <c r="J56" s="50">
        <v>0</v>
      </c>
      <c r="K56" s="48">
        <v>0</v>
      </c>
      <c r="L56" s="123">
        <f t="shared" si="28"/>
        <v>0</v>
      </c>
      <c r="M56" s="48">
        <v>0</v>
      </c>
      <c r="N56" s="123">
        <f t="shared" si="29"/>
        <v>0</v>
      </c>
      <c r="O56" s="48">
        <v>0</v>
      </c>
      <c r="P56" s="123">
        <f t="shared" si="30"/>
        <v>0</v>
      </c>
      <c r="Q56" s="127">
        <f t="shared" si="31"/>
        <v>0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2.75" customHeight="1">
      <c r="A57" s="16"/>
      <c r="B57" s="128" t="s">
        <v>2</v>
      </c>
      <c r="C57" s="129"/>
      <c r="D57" s="130">
        <f t="shared" ref="D57:K57" si="33">SUM(D47:D56)</f>
        <v>0</v>
      </c>
      <c r="E57" s="67">
        <f t="shared" si="33"/>
        <v>0</v>
      </c>
      <c r="F57" s="102">
        <f t="shared" si="33"/>
        <v>0</v>
      </c>
      <c r="G57" s="103">
        <f t="shared" si="33"/>
        <v>0</v>
      </c>
      <c r="H57" s="102">
        <f t="shared" si="33"/>
        <v>0</v>
      </c>
      <c r="I57" s="102">
        <f t="shared" si="33"/>
        <v>0</v>
      </c>
      <c r="J57" s="102">
        <f t="shared" si="33"/>
        <v>0</v>
      </c>
      <c r="K57" s="104">
        <f t="shared" si="33"/>
        <v>0</v>
      </c>
      <c r="L57" s="131">
        <f t="shared" si="28"/>
        <v>0</v>
      </c>
      <c r="M57" s="104">
        <f>SUM(M47:M56)</f>
        <v>0</v>
      </c>
      <c r="N57" s="131">
        <f t="shared" si="29"/>
        <v>0</v>
      </c>
      <c r="O57" s="104">
        <f>SUM(O47:O56)</f>
        <v>0</v>
      </c>
      <c r="P57" s="131">
        <f t="shared" si="30"/>
        <v>0</v>
      </c>
      <c r="Q57" s="72">
        <f>SUM(Q47:Q56)</f>
        <v>0</v>
      </c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 ht="12.75" customHeight="1">
      <c r="A58" s="1"/>
      <c r="B58" s="74" t="s">
        <v>34</v>
      </c>
      <c r="C58" s="2"/>
      <c r="D58" s="75"/>
      <c r="E58" s="77"/>
      <c r="F58" s="77"/>
      <c r="G58" s="132"/>
      <c r="H58" s="77"/>
      <c r="I58" s="77"/>
      <c r="J58" s="77"/>
      <c r="K58" s="76"/>
      <c r="L58" s="76"/>
      <c r="M58" s="76"/>
      <c r="N58" s="76"/>
      <c r="O58" s="76"/>
      <c r="P58" s="76"/>
      <c r="Q58" s="76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2.75" customHeight="1">
      <c r="A59" s="1"/>
      <c r="B59" s="6" t="s">
        <v>35</v>
      </c>
      <c r="C59" s="2"/>
      <c r="D59" s="75"/>
      <c r="E59" s="77">
        <f>E57+G57</f>
        <v>0</v>
      </c>
      <c r="F59" s="77"/>
      <c r="G59" s="78">
        <f>SUM(H59:J59)/1.18</f>
        <v>0</v>
      </c>
      <c r="H59" s="79">
        <f t="shared" ref="H59:J59" si="34">H57*1.18</f>
        <v>0</v>
      </c>
      <c r="I59" s="79">
        <f t="shared" si="34"/>
        <v>0</v>
      </c>
      <c r="J59" s="79">
        <f t="shared" si="34"/>
        <v>0</v>
      </c>
      <c r="K59" s="109">
        <f>SUMPRODUCT(E47:E56,L47:L56)*1.18</f>
        <v>0</v>
      </c>
      <c r="L59" s="110"/>
      <c r="M59" s="109">
        <f>SUMPRODUCT(E47:E56,N47:N56)*1.18</f>
        <v>0</v>
      </c>
      <c r="N59" s="110"/>
      <c r="O59" s="109">
        <f>SUMPRODUCT(E47:E56,P47:P56)*1.18</f>
        <v>0</v>
      </c>
      <c r="P59" s="110"/>
      <c r="Q59" s="111">
        <f>(K59+M59+O59)/1.18</f>
        <v>0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2.75" customHeight="1">
      <c r="A60" s="1"/>
      <c r="B60" s="86"/>
      <c r="C60" s="2"/>
      <c r="D60" s="75"/>
      <c r="E60" s="77">
        <f>G59+Q59</f>
        <v>0</v>
      </c>
      <c r="F60" s="77"/>
      <c r="G60" s="132"/>
      <c r="H60" s="77"/>
      <c r="I60" s="77"/>
      <c r="J60" s="77"/>
      <c r="K60" s="85"/>
      <c r="L60" s="85"/>
      <c r="M60" s="85"/>
      <c r="N60" s="85"/>
      <c r="O60" s="85"/>
      <c r="P60" s="85"/>
      <c r="Q60" s="85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2.75" customHeight="1">
      <c r="A61" s="1"/>
      <c r="B61" s="86"/>
      <c r="C61" s="2"/>
      <c r="D61" s="75"/>
      <c r="E61" s="77"/>
      <c r="F61" s="77"/>
      <c r="G61" s="132"/>
      <c r="H61" s="77"/>
      <c r="I61" s="77"/>
      <c r="J61" s="77"/>
      <c r="K61" s="85"/>
      <c r="L61" s="85"/>
      <c r="M61" s="85"/>
      <c r="N61" s="85"/>
      <c r="O61" s="85"/>
      <c r="P61" s="85"/>
      <c r="Q61" s="8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2.75" customHeight="1">
      <c r="A62" s="1"/>
      <c r="B62" s="2"/>
      <c r="C62" s="2"/>
      <c r="D62" s="75"/>
      <c r="E62" s="77"/>
      <c r="F62" s="77"/>
      <c r="G62" s="132"/>
      <c r="H62" s="77"/>
      <c r="I62" s="77"/>
      <c r="J62" s="77"/>
      <c r="K62" s="133"/>
      <c r="L62" s="133"/>
      <c r="M62" s="133"/>
      <c r="N62" s="133"/>
      <c r="O62" s="133"/>
      <c r="P62" s="133"/>
      <c r="Q62" s="107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2.75" customHeight="1">
      <c r="A63" s="16"/>
      <c r="B63" s="134" t="s">
        <v>53</v>
      </c>
      <c r="C63" s="135"/>
      <c r="D63" s="136"/>
      <c r="E63" s="135"/>
      <c r="F63" s="135"/>
      <c r="G63" s="137"/>
      <c r="H63" s="135"/>
      <c r="I63" s="135"/>
      <c r="J63" s="135"/>
      <c r="K63" s="138"/>
      <c r="L63" s="138"/>
      <c r="M63" s="138"/>
      <c r="N63" s="138"/>
      <c r="O63" s="138"/>
      <c r="P63" s="138"/>
      <c r="Q63" s="139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 ht="12.75" customHeight="1">
      <c r="A64" s="1"/>
      <c r="B64" s="140" t="inlineStr">
        <is>
          <t>Chhiring L Gurung</t>
        </is>
      </c>
      <c r="C64" s="141">
        <v>17</v>
      </c>
      <c r="D64" s="35">
        <f t="shared" ref="D64:D75" si="35">Q64</f>
        <v>0</v>
      </c>
      <c r="E64" s="37">
        <f t="shared" ref="E64:E85" si="36">IF(D64&gt;40,(D64-40)*(C64*1.5)+(C64*40),D64*C64)</f>
        <v>0</v>
      </c>
      <c r="F64" s="37">
        <f t="shared" ref="F64:F75" si="37">IF(D64&gt;40,(D64-40)*(C64*0.5),0)</f>
        <v>0</v>
      </c>
      <c r="G64" s="38">
        <v>0</v>
      </c>
      <c r="H64" s="37">
        <v>0</v>
      </c>
      <c r="I64" s="37">
        <v>0</v>
      </c>
      <c r="J64" s="37">
        <v>0</v>
      </c>
      <c r="K64" s="42">
        <v>11</v>
      </c>
      <c r="L64" s="40">
        <f t="shared" ref="L64:L86" si="39">IFERROR(K64/Q64,0)</f>
        <v>0</v>
      </c>
      <c r="M64" s="42">
        <v>12</v>
      </c>
      <c r="N64" s="40">
        <f t="shared" ref="N64:N86" si="40">IFERROR(M64/Q64,0)</f>
        <v>0</v>
      </c>
      <c r="O64" s="42">
        <v>0</v>
      </c>
      <c r="P64" s="40">
        <f t="shared" ref="P64:P86" si="41">IFERROR(O64/Q64,0)</f>
        <v>0</v>
      </c>
      <c r="Q64" s="43">
        <f t="shared" ref="Q64:Q75" si="42">O64+M64+K64</f>
        <v>0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2.75" customHeight="1">
      <c r="A65" s="1">
        <f t="shared" ref="A65:A72" si="43">1+A64</f>
        <v>1</v>
      </c>
      <c r="B65" s="140" t="inlineStr">
        <is>
          <t>Dorgee Namjom</t>
        </is>
      </c>
      <c r="C65" s="141">
        <v>17</v>
      </c>
      <c r="D65" s="35">
        <f t="shared" si="35"/>
        <v>0</v>
      </c>
      <c r="E65" s="37">
        <f t="shared" si="36"/>
        <v>0</v>
      </c>
      <c r="F65" s="37">
        <f t="shared" si="37"/>
        <v>0</v>
      </c>
      <c r="G65" s="38">
        <v>0</v>
      </c>
      <c r="H65" s="37">
        <v>0</v>
      </c>
      <c r="I65" s="142">
        <v>0</v>
      </c>
      <c r="J65" s="142">
        <v>0</v>
      </c>
      <c r="K65" s="42">
        <v>0</v>
      </c>
      <c r="L65" s="40">
        <f t="shared" si="39"/>
        <v>0</v>
      </c>
      <c r="M65" s="42">
        <v>0</v>
      </c>
      <c r="N65" s="40">
        <f t="shared" si="40"/>
        <v>0</v>
      </c>
      <c r="O65" s="42">
        <v>10.5</v>
      </c>
      <c r="P65" s="40">
        <f t="shared" si="41"/>
        <v>0</v>
      </c>
      <c r="Q65" s="43">
        <f t="shared" si="42"/>
        <v>0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2.75" customHeight="1">
      <c r="A66" s="1">
        <f t="shared" si="43"/>
        <v>2</v>
      </c>
      <c r="B66" s="143" t="inlineStr">
        <is>
          <t>Dwayne K Guerra</t>
        </is>
      </c>
      <c r="C66" s="144">
        <v>21</v>
      </c>
      <c r="D66" s="35">
        <f t="shared" si="35"/>
        <v>0</v>
      </c>
      <c r="E66" s="37">
        <f t="shared" si="36"/>
        <v>0</v>
      </c>
      <c r="F66" s="37">
        <f t="shared" si="37"/>
        <v>0</v>
      </c>
      <c r="G66" s="38">
        <v>115</v>
      </c>
      <c r="H66" s="37">
        <v>0</v>
      </c>
      <c r="I66" s="145">
        <v>0</v>
      </c>
      <c r="J66" s="145">
        <v>115</v>
      </c>
      <c r="K66" s="42">
        <v>0</v>
      </c>
      <c r="L66" s="40">
        <f t="shared" si="39"/>
        <v>0</v>
      </c>
      <c r="M66" s="42">
        <v>0</v>
      </c>
      <c r="N66" s="40">
        <f t="shared" si="40"/>
        <v>0</v>
      </c>
      <c r="O66" s="42">
        <v>26.5</v>
      </c>
      <c r="P66" s="40">
        <f t="shared" si="41"/>
        <v>0</v>
      </c>
      <c r="Q66" s="43">
        <f t="shared" si="42"/>
        <v>0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2.75" customHeight="1">
      <c r="A67" s="1">
        <f t="shared" si="43"/>
        <v>3</v>
      </c>
      <c r="B67" s="146" t="inlineStr">
        <is>
          <t>John Johnson</t>
        </is>
      </c>
      <c r="C67" s="144">
        <v>19</v>
      </c>
      <c r="D67" s="35">
        <f t="shared" si="35"/>
        <v>0</v>
      </c>
      <c r="E67" s="37">
        <f t="shared" si="36"/>
        <v>0</v>
      </c>
      <c r="F67" s="37">
        <f t="shared" si="37"/>
        <v>0</v>
      </c>
      <c r="G67" s="38">
        <v>0</v>
      </c>
      <c r="H67" s="50">
        <v>0</v>
      </c>
      <c r="I67" s="142">
        <v>0</v>
      </c>
      <c r="J67" s="142">
        <v>0</v>
      </c>
      <c r="K67" s="53">
        <v>0</v>
      </c>
      <c r="L67" s="147">
        <f t="shared" si="39"/>
        <v>0</v>
      </c>
      <c r="M67" s="53">
        <v>0</v>
      </c>
      <c r="N67" s="147">
        <f t="shared" si="40"/>
        <v>0</v>
      </c>
      <c r="O67" s="53">
        <v>0</v>
      </c>
      <c r="P67" s="147">
        <f t="shared" si="41"/>
        <v>0</v>
      </c>
      <c r="Q67" s="43">
        <f t="shared" si="42"/>
        <v>0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2.75" customHeight="1">
      <c r="A68" s="1">
        <f t="shared" si="43"/>
        <v>4</v>
      </c>
      <c r="B68" s="146" t="inlineStr">
        <is>
          <t>Juan Francisco Cevallos Garzon</t>
        </is>
      </c>
      <c r="C68" s="144">
        <v>20</v>
      </c>
      <c r="D68" s="35">
        <f t="shared" si="35"/>
        <v>0</v>
      </c>
      <c r="E68" s="37">
        <f t="shared" si="36"/>
        <v>0</v>
      </c>
      <c r="F68" s="37">
        <f t="shared" si="37"/>
        <v>0</v>
      </c>
      <c r="G68" s="38">
        <v>0</v>
      </c>
      <c r="H68" s="50">
        <v>0</v>
      </c>
      <c r="I68" s="148">
        <v>0</v>
      </c>
      <c r="J68" s="148">
        <v>0</v>
      </c>
      <c r="K68" s="53">
        <v>0</v>
      </c>
      <c r="L68" s="147">
        <f t="shared" si="39"/>
        <v>0</v>
      </c>
      <c r="M68" s="53">
        <v>0</v>
      </c>
      <c r="N68" s="147">
        <f t="shared" si="40"/>
        <v>0</v>
      </c>
      <c r="O68" s="53">
        <v>0</v>
      </c>
      <c r="P68" s="147">
        <f t="shared" si="41"/>
        <v>0</v>
      </c>
      <c r="Q68" s="43">
        <f t="shared" si="42"/>
        <v>0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2.75" customHeight="1">
      <c r="A69" s="1">
        <f t="shared" si="43"/>
        <v>5</v>
      </c>
      <c r="B69" s="140" t="inlineStr">
        <is>
          <t>Nurba T Gurung</t>
        </is>
      </c>
      <c r="C69" s="141">
        <v>17</v>
      </c>
      <c r="D69" s="35">
        <f t="shared" si="35"/>
        <v>0</v>
      </c>
      <c r="E69" s="37">
        <f t="shared" si="36"/>
        <v>0</v>
      </c>
      <c r="F69" s="37">
        <f t="shared" si="37"/>
        <v>0</v>
      </c>
      <c r="G69" s="38">
        <v>0</v>
      </c>
      <c r="H69" s="50">
        <v>0</v>
      </c>
      <c r="I69" s="148">
        <v>0</v>
      </c>
      <c r="J69" s="148">
        <v>0</v>
      </c>
      <c r="K69" s="53">
        <v>18</v>
      </c>
      <c r="L69" s="147">
        <f t="shared" si="39"/>
        <v>0</v>
      </c>
      <c r="M69" s="53">
        <v>0</v>
      </c>
      <c r="N69" s="147">
        <f t="shared" si="40"/>
        <v>0</v>
      </c>
      <c r="O69" s="53">
        <v>4</v>
      </c>
      <c r="P69" s="147">
        <f t="shared" si="41"/>
        <v>0</v>
      </c>
      <c r="Q69" s="43">
        <f t="shared" si="42"/>
        <v>0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2.75" customHeight="1">
      <c r="A70" s="1">
        <f t="shared" si="43"/>
        <v>6</v>
      </c>
      <c r="B70" s="140" t="inlineStr">
        <is>
          <t>Phuri Sherpa</t>
        </is>
      </c>
      <c r="C70" s="141">
        <v>18</v>
      </c>
      <c r="D70" s="35">
        <f t="shared" si="35"/>
        <v>0</v>
      </c>
      <c r="E70" s="37">
        <f t="shared" si="36"/>
        <v>0</v>
      </c>
      <c r="F70" s="37">
        <f t="shared" si="37"/>
        <v>0</v>
      </c>
      <c r="G70" s="38">
        <v>0</v>
      </c>
      <c r="H70" s="50">
        <v>0</v>
      </c>
      <c r="I70" s="148">
        <v>0</v>
      </c>
      <c r="J70" s="148">
        <v>0</v>
      </c>
      <c r="K70" s="53">
        <v>0</v>
      </c>
      <c r="L70" s="147">
        <f t="shared" si="39"/>
        <v>0</v>
      </c>
      <c r="M70" s="53">
        <v>0</v>
      </c>
      <c r="N70" s="147">
        <f t="shared" si="40"/>
        <v>0</v>
      </c>
      <c r="O70" s="53">
        <v>25.5</v>
      </c>
      <c r="P70" s="147">
        <f t="shared" si="41"/>
        <v>0</v>
      </c>
      <c r="Q70" s="43">
        <f t="shared" si="42"/>
        <v>0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2.75" customHeight="1">
      <c r="A71" s="1">
        <f t="shared" si="43"/>
        <v>7</v>
      </c>
      <c r="B71" s="143" t="inlineStr">
        <is>
          <t>Tyshawn Eugene Allen</t>
        </is>
      </c>
      <c r="C71" s="141">
        <v>20</v>
      </c>
      <c r="D71" s="35">
        <f t="shared" si="35"/>
        <v>0</v>
      </c>
      <c r="E71" s="37">
        <f t="shared" si="36"/>
        <v>0</v>
      </c>
      <c r="F71" s="37">
        <f t="shared" si="37"/>
        <v>0</v>
      </c>
      <c r="G71" s="38">
        <v>0</v>
      </c>
      <c r="H71" s="50">
        <v>0</v>
      </c>
      <c r="I71" s="148">
        <v>0</v>
      </c>
      <c r="J71" s="148">
        <v>0</v>
      </c>
      <c r="K71" s="53">
        <v>0</v>
      </c>
      <c r="L71" s="147">
        <f t="shared" si="39"/>
        <v>0</v>
      </c>
      <c r="M71" s="53">
        <v>0</v>
      </c>
      <c r="N71" s="147">
        <f t="shared" si="40"/>
        <v>0</v>
      </c>
      <c r="O71" s="53">
        <v>40</v>
      </c>
      <c r="P71" s="147">
        <f t="shared" si="41"/>
        <v>0</v>
      </c>
      <c r="Q71" s="43">
        <f t="shared" si="42"/>
        <v>0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2.75" customHeight="1">
      <c r="A72" s="1">
        <f t="shared" si="43"/>
        <v>8</v>
      </c>
      <c r="B72" s="140" t="inlineStr">
        <is>
          <t/>
        </is>
      </c>
      <c r="C72" s="141">
        <v>0</v>
      </c>
      <c r="D72" s="35">
        <f t="shared" si="35"/>
        <v>0</v>
      </c>
      <c r="E72" s="37">
        <f t="shared" si="36"/>
        <v>0</v>
      </c>
      <c r="F72" s="37">
        <f t="shared" si="37"/>
        <v>0</v>
      </c>
      <c r="G72" s="38">
        <v>0</v>
      </c>
      <c r="H72" s="37">
        <v>0</v>
      </c>
      <c r="I72" s="142">
        <v>0</v>
      </c>
      <c r="J72" s="37">
        <v>0</v>
      </c>
      <c r="K72" s="42">
        <v>0</v>
      </c>
      <c r="L72" s="40">
        <f t="shared" si="39"/>
        <v>0</v>
      </c>
      <c r="M72" s="42">
        <v>0</v>
      </c>
      <c r="N72" s="40">
        <f t="shared" si="40"/>
        <v>0</v>
      </c>
      <c r="O72" s="42">
        <v>0</v>
      </c>
      <c r="P72" s="40">
        <f t="shared" si="41"/>
        <v>0</v>
      </c>
      <c r="Q72" s="43">
        <f t="shared" si="42"/>
        <v>0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2.75" customHeight="1">
      <c r="A73" s="1"/>
      <c r="B73" s="140" t="inlineStr">
        <is>
          <t/>
        </is>
      </c>
      <c r="C73" s="141">
        <v>0</v>
      </c>
      <c r="D73" s="35">
        <f t="shared" si="35"/>
        <v>0</v>
      </c>
      <c r="E73" s="37">
        <f t="shared" si="36"/>
        <v>0</v>
      </c>
      <c r="F73" s="37">
        <f t="shared" si="37"/>
        <v>0</v>
      </c>
      <c r="G73" s="38">
        <v>0</v>
      </c>
      <c r="H73" s="37">
        <v>0</v>
      </c>
      <c r="I73" s="142">
        <v>0</v>
      </c>
      <c r="J73" s="37">
        <v>0</v>
      </c>
      <c r="K73" s="42">
        <v>0</v>
      </c>
      <c r="L73" s="40">
        <f t="shared" si="39"/>
        <v>0</v>
      </c>
      <c r="M73" s="42">
        <v>0</v>
      </c>
      <c r="N73" s="40">
        <f t="shared" si="40"/>
        <v>0</v>
      </c>
      <c r="O73" s="42">
        <v>0</v>
      </c>
      <c r="P73" s="40">
        <f t="shared" si="41"/>
        <v>0</v>
      </c>
      <c r="Q73" s="43">
        <f t="shared" si="42"/>
        <v>0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2.75" customHeight="1">
      <c r="A74" s="1"/>
      <c r="B74" s="140" t="inlineStr">
        <is>
          <t/>
        </is>
      </c>
      <c r="C74" s="144">
        <v>0</v>
      </c>
      <c r="D74" s="35">
        <f t="shared" si="35"/>
        <v>0</v>
      </c>
      <c r="E74" s="37">
        <f t="shared" si="36"/>
        <v>0</v>
      </c>
      <c r="F74" s="37">
        <f t="shared" si="37"/>
        <v>0</v>
      </c>
      <c r="G74" s="38">
        <v>0</v>
      </c>
      <c r="H74" s="45">
        <v>0</v>
      </c>
      <c r="I74" s="45">
        <v>0</v>
      </c>
      <c r="J74" s="45">
        <v>0</v>
      </c>
      <c r="K74" s="48">
        <v>0</v>
      </c>
      <c r="L74" s="123">
        <f t="shared" si="39"/>
        <v>0</v>
      </c>
      <c r="M74" s="48">
        <v>0</v>
      </c>
      <c r="N74" s="123">
        <f t="shared" si="40"/>
        <v>0</v>
      </c>
      <c r="O74" s="48">
        <v>0</v>
      </c>
      <c r="P74" s="123">
        <f t="shared" si="41"/>
        <v>0</v>
      </c>
      <c r="Q74" s="43">
        <f t="shared" si="42"/>
        <v>0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2.75" customHeight="1">
      <c r="A75" s="1"/>
      <c r="B75" s="149" t="inlineStr">
        <is>
          <t/>
        </is>
      </c>
      <c r="C75" s="141">
        <v>0</v>
      </c>
      <c r="D75" s="35">
        <f t="shared" si="35"/>
        <v>0</v>
      </c>
      <c r="E75" s="37">
        <f t="shared" si="36"/>
        <v>0</v>
      </c>
      <c r="F75" s="37">
        <f t="shared" si="37"/>
        <v>0</v>
      </c>
      <c r="G75" s="38">
        <v>0</v>
      </c>
      <c r="H75" s="37">
        <v>0</v>
      </c>
      <c r="I75" s="37">
        <v>0</v>
      </c>
      <c r="J75" s="37">
        <v>0</v>
      </c>
      <c r="K75" s="42">
        <v>0</v>
      </c>
      <c r="L75" s="40">
        <f t="shared" si="39"/>
        <v>0</v>
      </c>
      <c r="M75" s="42">
        <v>0</v>
      </c>
      <c r="N75" s="40">
        <f t="shared" si="40"/>
        <v>0</v>
      </c>
      <c r="O75" s="42">
        <v>0</v>
      </c>
      <c r="P75" s="40">
        <f t="shared" si="41"/>
        <v>0</v>
      </c>
      <c r="Q75" s="43">
        <f t="shared" si="42"/>
        <v>0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2.75" customHeight="1">
      <c r="A76" s="1">
        <f t="shared" ref="A76:A81" si="44">1+A75</f>
        <v>1</v>
      </c>
      <c r="B76" s="150" t="inlineStr">
        <is>
          <t/>
        </is>
      </c>
      <c r="C76" s="99">
        <v>0</v>
      </c>
      <c r="D76" s="35">
        <f t="shared" ref="D76:D85" si="45">SUM(K76:O76)</f>
        <v>0</v>
      </c>
      <c r="E76" s="37">
        <f t="shared" si="36"/>
        <v>0</v>
      </c>
      <c r="F76" s="37"/>
      <c r="G76" s="38">
        <v>0</v>
      </c>
      <c r="H76" s="37">
        <v>0</v>
      </c>
      <c r="I76" s="37">
        <v>0</v>
      </c>
      <c r="J76" s="37">
        <v>0</v>
      </c>
      <c r="K76" s="42">
        <v>0</v>
      </c>
      <c r="L76" s="40">
        <f t="shared" si="39"/>
        <v>0</v>
      </c>
      <c r="M76" s="42">
        <v>0</v>
      </c>
      <c r="N76" s="40">
        <f t="shared" si="40"/>
        <v>0</v>
      </c>
      <c r="O76" s="42">
        <v>0</v>
      </c>
      <c r="P76" s="40">
        <f t="shared" si="41"/>
        <v>0</v>
      </c>
      <c r="Q76" s="43">
        <f t="shared" ref="Q76:Q86" si="46">K76+M76+O76</f>
        <v>0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2.75" customHeight="1">
      <c r="A77" s="1">
        <f t="shared" si="44"/>
        <v>2</v>
      </c>
      <c r="B77" s="151" t="inlineStr">
        <is>
          <t/>
        </is>
      </c>
      <c r="C77" s="99">
        <v>0</v>
      </c>
      <c r="D77" s="35">
        <f t="shared" si="45"/>
        <v>0</v>
      </c>
      <c r="E77" s="37">
        <f t="shared" si="36"/>
        <v>0</v>
      </c>
      <c r="F77" s="37"/>
      <c r="G77" s="38">
        <v>0</v>
      </c>
      <c r="H77" s="37">
        <v>0</v>
      </c>
      <c r="I77" s="37">
        <v>0</v>
      </c>
      <c r="J77" s="37">
        <v>0</v>
      </c>
      <c r="K77" s="42">
        <v>0</v>
      </c>
      <c r="L77" s="40">
        <f t="shared" si="39"/>
        <v>0</v>
      </c>
      <c r="M77" s="42">
        <v>0</v>
      </c>
      <c r="N77" s="40">
        <f t="shared" si="40"/>
        <v>0</v>
      </c>
      <c r="O77" s="42">
        <v>0</v>
      </c>
      <c r="P77" s="40">
        <f t="shared" si="41"/>
        <v>0</v>
      </c>
      <c r="Q77" s="43">
        <f t="shared" si="46"/>
        <v>0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2.75" customHeight="1">
      <c r="A78" s="1">
        <f t="shared" si="44"/>
        <v>3</v>
      </c>
      <c r="B78" s="152" t="inlineStr">
        <is>
          <t/>
        </is>
      </c>
      <c r="C78" s="99">
        <v>0</v>
      </c>
      <c r="D78" s="35">
        <f t="shared" si="45"/>
        <v>0</v>
      </c>
      <c r="E78" s="37">
        <f t="shared" si="36"/>
        <v>0</v>
      </c>
      <c r="F78" s="37"/>
      <c r="G78" s="38">
        <v>0</v>
      </c>
      <c r="H78" s="37">
        <v>0</v>
      </c>
      <c r="I78" s="37">
        <v>0</v>
      </c>
      <c r="J78" s="37">
        <v>0</v>
      </c>
      <c r="K78" s="42">
        <v>0</v>
      </c>
      <c r="L78" s="40">
        <f t="shared" si="39"/>
        <v>0</v>
      </c>
      <c r="M78" s="42">
        <v>0</v>
      </c>
      <c r="N78" s="40">
        <f t="shared" si="40"/>
        <v>0</v>
      </c>
      <c r="O78" s="42">
        <v>0</v>
      </c>
      <c r="P78" s="40">
        <f t="shared" si="41"/>
        <v>0</v>
      </c>
      <c r="Q78" s="43">
        <f t="shared" si="46"/>
        <v>0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2.75" customHeight="1">
      <c r="A79" s="1">
        <f t="shared" si="44"/>
        <v>4</v>
      </c>
      <c r="B79" s="153" t="inlineStr">
        <is>
          <t/>
        </is>
      </c>
      <c r="C79" s="99">
        <v>0</v>
      </c>
      <c r="D79" s="35">
        <f t="shared" si="45"/>
        <v>0</v>
      </c>
      <c r="E79" s="37">
        <f t="shared" si="36"/>
        <v>0</v>
      </c>
      <c r="F79" s="37"/>
      <c r="G79" s="38">
        <v>0</v>
      </c>
      <c r="H79" s="37">
        <v>0</v>
      </c>
      <c r="I79" s="37">
        <v>0</v>
      </c>
      <c r="J79" s="37">
        <v>0</v>
      </c>
      <c r="K79" s="42">
        <v>0</v>
      </c>
      <c r="L79" s="40">
        <f t="shared" si="39"/>
        <v>0</v>
      </c>
      <c r="M79" s="42">
        <v>0</v>
      </c>
      <c r="N79" s="40">
        <f t="shared" si="40"/>
        <v>0</v>
      </c>
      <c r="O79" s="42">
        <v>0</v>
      </c>
      <c r="P79" s="40">
        <f t="shared" si="41"/>
        <v>0</v>
      </c>
      <c r="Q79" s="43">
        <f t="shared" si="46"/>
        <v>0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2.75" customHeight="1">
      <c r="A80" s="1">
        <f t="shared" si="44"/>
        <v>5</v>
      </c>
      <c r="B80" s="33" t="inlineStr">
        <is>
          <t/>
        </is>
      </c>
      <c r="C80" s="99">
        <v>0</v>
      </c>
      <c r="D80" s="35">
        <f t="shared" si="45"/>
        <v>0</v>
      </c>
      <c r="E80" s="37">
        <f t="shared" si="36"/>
        <v>0</v>
      </c>
      <c r="F80" s="37"/>
      <c r="G80" s="38">
        <v>0</v>
      </c>
      <c r="H80" s="37">
        <v>0</v>
      </c>
      <c r="I80" s="37">
        <v>0</v>
      </c>
      <c r="J80" s="37">
        <v>0</v>
      </c>
      <c r="K80" s="42">
        <v>0</v>
      </c>
      <c r="L80" s="40">
        <f t="shared" si="39"/>
        <v>0</v>
      </c>
      <c r="M80" s="42">
        <v>0</v>
      </c>
      <c r="N80" s="40">
        <f t="shared" si="40"/>
        <v>0</v>
      </c>
      <c r="O80" s="42">
        <v>0</v>
      </c>
      <c r="P80" s="40">
        <f t="shared" si="41"/>
        <v>0</v>
      </c>
      <c r="Q80" s="43">
        <f t="shared" si="46"/>
        <v>0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2.75" customHeight="1">
      <c r="A81" s="1">
        <f t="shared" si="44"/>
        <v>6</v>
      </c>
      <c r="B81" s="33" t="inlineStr">
        <is>
          <t/>
        </is>
      </c>
      <c r="C81" s="99">
        <v>0</v>
      </c>
      <c r="D81" s="35">
        <f t="shared" si="45"/>
        <v>0</v>
      </c>
      <c r="E81" s="37">
        <f t="shared" si="36"/>
        <v>0</v>
      </c>
      <c r="F81" s="37"/>
      <c r="G81" s="38">
        <v>0</v>
      </c>
      <c r="H81" s="37">
        <v>0</v>
      </c>
      <c r="I81" s="37">
        <v>0</v>
      </c>
      <c r="J81" s="37">
        <v>0</v>
      </c>
      <c r="K81" s="42">
        <v>0</v>
      </c>
      <c r="L81" s="40">
        <f t="shared" si="39"/>
        <v>0</v>
      </c>
      <c r="M81" s="42">
        <v>0</v>
      </c>
      <c r="N81" s="40">
        <f t="shared" si="40"/>
        <v>0</v>
      </c>
      <c r="O81" s="42">
        <v>0</v>
      </c>
      <c r="P81" s="40">
        <f t="shared" si="41"/>
        <v>0</v>
      </c>
      <c r="Q81" s="43">
        <f t="shared" si="46"/>
        <v>0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2.75" customHeight="1">
      <c r="A82" s="1">
        <v>13.0</v>
      </c>
      <c r="B82" s="33" t="inlineStr">
        <is>
          <t/>
        </is>
      </c>
      <c r="C82" s="99">
        <v>0</v>
      </c>
      <c r="D82" s="35">
        <f t="shared" si="45"/>
        <v>0</v>
      </c>
      <c r="E82" s="37">
        <f t="shared" si="36"/>
        <v>0</v>
      </c>
      <c r="F82" s="37"/>
      <c r="G82" s="38">
        <v>0</v>
      </c>
      <c r="H82" s="37">
        <v>0</v>
      </c>
      <c r="I82" s="37">
        <v>0</v>
      </c>
      <c r="J82" s="37">
        <v>0</v>
      </c>
      <c r="K82" s="42">
        <v>0</v>
      </c>
      <c r="L82" s="40">
        <f t="shared" si="39"/>
        <v>0</v>
      </c>
      <c r="M82" s="42">
        <v>0</v>
      </c>
      <c r="N82" s="40">
        <f t="shared" si="40"/>
        <v>0</v>
      </c>
      <c r="O82" s="42">
        <v>0</v>
      </c>
      <c r="P82" s="40">
        <f t="shared" si="41"/>
        <v>0</v>
      </c>
      <c r="Q82" s="43">
        <f t="shared" si="46"/>
        <v>0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2.75" customHeight="1">
      <c r="A83" s="1">
        <v>14.0</v>
      </c>
      <c r="B83" s="154" t="inlineStr">
        <is>
          <t/>
        </is>
      </c>
      <c r="C83" s="99">
        <v>0</v>
      </c>
      <c r="D83" s="35">
        <f t="shared" si="45"/>
        <v>0</v>
      </c>
      <c r="E83" s="37">
        <f t="shared" si="36"/>
        <v>0</v>
      </c>
      <c r="F83" s="37"/>
      <c r="G83" s="38">
        <v>0</v>
      </c>
      <c r="H83" s="37">
        <v>0</v>
      </c>
      <c r="I83" s="37">
        <v>0</v>
      </c>
      <c r="J83" s="37">
        <v>0</v>
      </c>
      <c r="K83" s="42">
        <v>0</v>
      </c>
      <c r="L83" s="40">
        <f t="shared" si="39"/>
        <v>0</v>
      </c>
      <c r="M83" s="42">
        <v>0</v>
      </c>
      <c r="N83" s="40">
        <f t="shared" si="40"/>
        <v>0</v>
      </c>
      <c r="O83" s="42">
        <v>0</v>
      </c>
      <c r="P83" s="40">
        <f t="shared" si="41"/>
        <v>0</v>
      </c>
      <c r="Q83" s="43">
        <f t="shared" si="46"/>
        <v>0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2.75" customHeight="1">
      <c r="A84" s="1">
        <v>15.0</v>
      </c>
      <c r="B84" s="33" t="inlineStr">
        <is>
          <t/>
        </is>
      </c>
      <c r="C84" s="99">
        <v>0</v>
      </c>
      <c r="D84" s="35">
        <f t="shared" si="45"/>
        <v>0</v>
      </c>
      <c r="E84" s="37">
        <f t="shared" si="36"/>
        <v>0</v>
      </c>
      <c r="F84" s="37"/>
      <c r="G84" s="38">
        <v>0</v>
      </c>
      <c r="H84" s="37">
        <v>0</v>
      </c>
      <c r="I84" s="37">
        <v>0</v>
      </c>
      <c r="J84" s="37">
        <v>0</v>
      </c>
      <c r="K84" s="42">
        <v>0</v>
      </c>
      <c r="L84" s="40">
        <f t="shared" si="39"/>
        <v>0</v>
      </c>
      <c r="M84" s="42">
        <v>0</v>
      </c>
      <c r="N84" s="40">
        <f t="shared" si="40"/>
        <v>0</v>
      </c>
      <c r="O84" s="42">
        <v>0</v>
      </c>
      <c r="P84" s="40">
        <f t="shared" si="41"/>
        <v>0</v>
      </c>
      <c r="Q84" s="43">
        <f t="shared" si="46"/>
        <v>0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2.75" customHeight="1">
      <c r="A85" s="1">
        <v>16.0</v>
      </c>
      <c r="B85" s="151" t="inlineStr">
        <is>
          <t/>
        </is>
      </c>
      <c r="C85" s="5">
        <v>0</v>
      </c>
      <c r="D85" s="155">
        <f t="shared" si="45"/>
        <v>0</v>
      </c>
      <c r="E85" s="50">
        <f t="shared" si="36"/>
        <v>0</v>
      </c>
      <c r="F85" s="50"/>
      <c r="G85" s="156">
        <v>0</v>
      </c>
      <c r="H85" s="50">
        <v>0</v>
      </c>
      <c r="I85" s="50">
        <v>0</v>
      </c>
      <c r="J85" s="50">
        <v>0</v>
      </c>
      <c r="K85" s="53">
        <v>0</v>
      </c>
      <c r="L85" s="147">
        <f t="shared" si="39"/>
        <v>0</v>
      </c>
      <c r="M85" s="53">
        <v>0</v>
      </c>
      <c r="N85" s="147">
        <f t="shared" si="40"/>
        <v>0</v>
      </c>
      <c r="O85" s="53">
        <v>0</v>
      </c>
      <c r="P85" s="147">
        <f t="shared" si="41"/>
        <v>0</v>
      </c>
      <c r="Q85" s="63">
        <f t="shared" si="46"/>
        <v>0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2.75" customHeight="1">
      <c r="A86" s="16"/>
      <c r="B86" s="157" t="s">
        <v>2</v>
      </c>
      <c r="C86" s="158"/>
      <c r="D86" s="159">
        <f t="shared" ref="D86:K86" si="47">SUM(D64:D85)</f>
        <v>0</v>
      </c>
      <c r="E86" s="102">
        <f t="shared" si="47"/>
        <v>0</v>
      </c>
      <c r="F86" s="102">
        <f t="shared" si="47"/>
        <v>0</v>
      </c>
      <c r="G86" s="103">
        <f t="shared" si="47"/>
        <v>0</v>
      </c>
      <c r="H86" s="102">
        <f t="shared" si="47"/>
        <v>0</v>
      </c>
      <c r="I86" s="102">
        <f t="shared" si="47"/>
        <v>0</v>
      </c>
      <c r="J86" s="102">
        <f t="shared" si="47"/>
        <v>0</v>
      </c>
      <c r="K86" s="104">
        <f t="shared" si="47"/>
        <v>0</v>
      </c>
      <c r="L86" s="131">
        <f t="shared" si="39"/>
        <v>0</v>
      </c>
      <c r="M86" s="104">
        <f>SUM(M64:M85)</f>
        <v>0</v>
      </c>
      <c r="N86" s="131">
        <f t="shared" si="40"/>
        <v>0</v>
      </c>
      <c r="O86" s="104">
        <f>SUM(O64:O85)</f>
        <v>0</v>
      </c>
      <c r="P86" s="131">
        <f t="shared" si="41"/>
        <v>0</v>
      </c>
      <c r="Q86" s="104">
        <f t="shared" si="46"/>
        <v>0</v>
      </c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 ht="12.75" customHeight="1">
      <c r="A87" s="1"/>
      <c r="B87" s="74" t="s">
        <v>34</v>
      </c>
      <c r="C87" s="2"/>
      <c r="D87" s="75"/>
      <c r="E87" s="2"/>
      <c r="F87" s="2"/>
      <c r="G87" s="4"/>
      <c r="H87" s="2"/>
      <c r="I87" s="2"/>
      <c r="J87" s="2"/>
      <c r="K87" s="76"/>
      <c r="L87" s="76"/>
      <c r="M87" s="76"/>
      <c r="N87" s="76"/>
      <c r="O87" s="76"/>
      <c r="P87" s="76"/>
      <c r="Q87" s="76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2.75" customHeight="1">
      <c r="A88" s="1"/>
      <c r="B88" s="6" t="s">
        <v>35</v>
      </c>
      <c r="C88" s="2"/>
      <c r="D88" s="75"/>
      <c r="E88" s="77">
        <f>E86+G86</f>
        <v>0</v>
      </c>
      <c r="F88" s="77"/>
      <c r="G88" s="78">
        <f>SUM(H88:J88)/1.18</f>
        <v>0</v>
      </c>
      <c r="H88" s="79">
        <f t="shared" ref="H88:J88" si="48">H86*1.18</f>
        <v>0</v>
      </c>
      <c r="I88" s="79">
        <f t="shared" si="48"/>
        <v>0</v>
      </c>
      <c r="J88" s="79">
        <f t="shared" si="48"/>
        <v>0</v>
      </c>
      <c r="K88" s="109">
        <f>SUMPRODUCT(E64:E85,L64:L85)*1.18</f>
        <v>0</v>
      </c>
      <c r="L88" s="110"/>
      <c r="M88" s="109">
        <f>SUMPRODUCT(E64:E85,N64:N85)*1.18</f>
        <v>0</v>
      </c>
      <c r="N88" s="110"/>
      <c r="O88" s="109">
        <f>SUMPRODUCT(E64:E85,P64:P85)*1.18</f>
        <v>0</v>
      </c>
      <c r="P88" s="110"/>
      <c r="Q88" s="111">
        <f>(K88+M88+O88)/1.18</f>
        <v>0</v>
      </c>
      <c r="R88" s="77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2.75" customHeight="1">
      <c r="A89" s="1"/>
      <c r="B89" s="86"/>
      <c r="C89" s="2"/>
      <c r="D89" s="75"/>
      <c r="E89" s="77">
        <f>G88+Q88</f>
        <v>0</v>
      </c>
      <c r="F89" s="77"/>
      <c r="G89" s="132"/>
      <c r="H89" s="77"/>
      <c r="I89" s="77"/>
      <c r="J89" s="77"/>
      <c r="K89" s="160"/>
      <c r="L89" s="110"/>
      <c r="M89" s="160"/>
      <c r="N89" s="110"/>
      <c r="O89" s="160"/>
      <c r="P89" s="110"/>
      <c r="Q89" s="160"/>
      <c r="R89" s="77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2.75" customHeight="1">
      <c r="A90" s="1"/>
      <c r="B90" s="86"/>
      <c r="C90" s="2"/>
      <c r="D90" s="75"/>
      <c r="E90" s="2"/>
      <c r="F90" s="2"/>
      <c r="G90" s="4"/>
      <c r="H90" s="2"/>
      <c r="I90" s="2"/>
      <c r="J90" s="2"/>
      <c r="K90" s="110"/>
      <c r="L90" s="110"/>
      <c r="M90" s="110"/>
      <c r="N90" s="110"/>
      <c r="O90" s="110"/>
      <c r="P90" s="110"/>
      <c r="Q90" s="110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2.75" customHeight="1">
      <c r="A91" s="1"/>
      <c r="B91" s="161" t="s">
        <v>62</v>
      </c>
      <c r="C91" s="2"/>
      <c r="D91" s="162"/>
      <c r="E91" s="2"/>
      <c r="F91" s="163">
        <f>F26+F40+F57+F86</f>
        <v>0</v>
      </c>
      <c r="G91" s="4"/>
      <c r="H91" s="2"/>
      <c r="I91" s="2"/>
      <c r="J91" s="2"/>
      <c r="K91" s="77"/>
      <c r="L91" s="77"/>
      <c r="M91" s="77"/>
      <c r="N91" s="77"/>
      <c r="O91" s="77"/>
      <c r="P91" s="77"/>
      <c r="Q91" s="77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2.75" customHeight="1">
      <c r="A92" s="1"/>
      <c r="B92" s="2"/>
      <c r="C92" s="2"/>
      <c r="D92" s="75"/>
      <c r="E92" s="2"/>
      <c r="F92" s="2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2.75" customHeight="1">
      <c r="A93" s="1"/>
      <c r="B93" s="164" t="s">
        <v>63</v>
      </c>
      <c r="C93" s="77" t="str">
        <f>K59+H59-M28-I28-M42-I42</f>
        <v>#DIV/0!</v>
      </c>
      <c r="D93" s="3"/>
      <c r="F93" s="2"/>
      <c r="G93" s="4"/>
      <c r="H93" s="2"/>
      <c r="I93" s="2"/>
      <c r="J93" s="2"/>
      <c r="K93" s="2"/>
      <c r="L93" s="2"/>
      <c r="M93" s="2"/>
      <c r="N93" s="2"/>
      <c r="O93" s="2"/>
      <c r="P93" s="2"/>
      <c r="Q93" s="165">
        <f>Q86+Q57+Q40+Q26</f>
        <v>0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2.75" customHeight="1">
      <c r="A94" s="1"/>
      <c r="B94" s="164" t="s">
        <v>64</v>
      </c>
      <c r="C94" s="77" t="str">
        <f>K88+H88-O28-J28-O42-J42</f>
        <v>#DIV/0!</v>
      </c>
      <c r="D94" s="3"/>
      <c r="E94" s="2"/>
      <c r="F94" s="2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2.75" customHeight="1">
      <c r="A95" s="1"/>
      <c r="B95" s="164" t="s">
        <v>65</v>
      </c>
      <c r="C95" s="77">
        <f>M88+I88-O59-J59</f>
        <v>0</v>
      </c>
      <c r="D95" s="3"/>
      <c r="E95" s="2"/>
      <c r="F95" s="2"/>
      <c r="G95" s="13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2.75" customHeight="1">
      <c r="A96" s="1"/>
      <c r="B96" s="2"/>
      <c r="C96" s="110"/>
      <c r="D96" s="3"/>
      <c r="E96" s="2"/>
      <c r="F96" s="2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2.75" customHeight="1">
      <c r="A97" s="1"/>
      <c r="B97" s="166" t="s">
        <v>66</v>
      </c>
      <c r="C97" s="2"/>
      <c r="D97" s="3"/>
      <c r="E97" s="2"/>
      <c r="F97" s="2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2.75" customHeight="1">
      <c r="A98" s="1"/>
      <c r="B98" s="166" t="s">
        <v>67</v>
      </c>
      <c r="C98" s="2"/>
      <c r="D98" s="3"/>
      <c r="E98" s="2"/>
      <c r="F98" s="2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2.75" customHeight="1">
      <c r="A99" s="1"/>
      <c r="B99" s="166" t="s">
        <v>68</v>
      </c>
      <c r="C99" s="2"/>
      <c r="D99" s="3"/>
      <c r="E99" s="2"/>
      <c r="F99" s="2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2.75" customHeight="1">
      <c r="A100" s="1"/>
      <c r="B100" s="2"/>
      <c r="C100" s="2"/>
      <c r="D100" s="3"/>
      <c r="E100" s="2"/>
      <c r="F100" s="2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2.75" customHeight="1">
      <c r="A101" s="1"/>
      <c r="B101" s="2" t="str">
        <f>IF(C93=0,"No Scanio/SeaAir Reimbursement",IF(C93&gt;0,"Scanio Owes Sea &amp; Air","Sea &amp; Air Owes Scanio"))</f>
      </c>
      <c r="C101" s="2"/>
      <c r="D101" s="3"/>
      <c r="E101" s="2"/>
      <c r="F101" s="77">
        <f>G88+G59+G42+G28</f>
        <v>0</v>
      </c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2.75" customHeight="1">
      <c r="A102" s="1"/>
      <c r="B102" s="2"/>
      <c r="C102" s="77"/>
      <c r="D102" s="3"/>
      <c r="E102" s="2"/>
      <c r="F102" s="2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2.75" customHeight="1">
      <c r="A103" s="1"/>
      <c r="B103" s="2"/>
      <c r="C103" s="77"/>
      <c r="D103" s="3"/>
      <c r="E103" s="2"/>
      <c r="F103" s="2"/>
      <c r="G103" s="13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</sheetData>
  <mergeCells count="1">
    <mergeCell ref="D2:G2"/>
  </mergeCells>
  <printOptions/>
  <pageMargins bottom="0.75" footer="0.0" header="0.0" left="0.0" right="0.0" top="0.75"/>
  <pageSetup fitToHeight="0" orientation="landscape"/>
  <headerFooter>
    <oddHeader>&amp;L02.13.26&amp;CPAYROLL FOR A PERIOOD ENDED 02.06.2026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67" t="s">
        <v>69</v>
      </c>
      <c r="B1" s="167" t="s">
        <v>70</v>
      </c>
      <c r="C1" s="167" t="s">
        <v>71</v>
      </c>
    </row>
    <row r="2">
      <c r="A2" s="167" t="s">
        <v>72</v>
      </c>
      <c r="B2" s="167" t="s">
        <v>73</v>
      </c>
      <c r="C2" s="168">
        <v>1.6666666666666667</v>
      </c>
    </row>
    <row r="3">
      <c r="A3" s="167" t="s">
        <v>74</v>
      </c>
      <c r="B3" s="167" t="s">
        <v>73</v>
      </c>
      <c r="C3" s="168">
        <v>1.1041666666666667</v>
      </c>
    </row>
    <row r="4">
      <c r="A4" s="167" t="s">
        <v>75</v>
      </c>
      <c r="B4" s="167" t="s">
        <v>73</v>
      </c>
      <c r="C4" s="169">
        <v>0.16666666666666666</v>
      </c>
    </row>
    <row r="5">
      <c r="A5" s="167" t="s">
        <v>75</v>
      </c>
      <c r="B5" s="167" t="s">
        <v>76</v>
      </c>
      <c r="C5" s="169">
        <v>0.75</v>
      </c>
    </row>
    <row r="6">
      <c r="A6" s="167" t="s">
        <v>77</v>
      </c>
      <c r="B6" s="167" t="s">
        <v>76</v>
      </c>
      <c r="C6" s="169">
        <v>0.25</v>
      </c>
    </row>
    <row r="7">
      <c r="A7" s="167" t="s">
        <v>77</v>
      </c>
      <c r="B7" s="167" t="s">
        <v>73</v>
      </c>
      <c r="C7" s="169">
        <v>0.4375</v>
      </c>
      <c r="F7" s="170"/>
      <c r="H7" s="170"/>
      <c r="K7" s="169"/>
      <c r="S7" s="169"/>
    </row>
    <row r="8">
      <c r="A8" s="167" t="s">
        <v>78</v>
      </c>
      <c r="B8" s="167" t="s">
        <v>36</v>
      </c>
      <c r="C8" s="169">
        <v>0.3958333333333333</v>
      </c>
    </row>
    <row r="9">
      <c r="A9" s="167" t="s">
        <v>78</v>
      </c>
      <c r="B9" s="167" t="s">
        <v>79</v>
      </c>
      <c r="C9" s="169">
        <v>0.5</v>
      </c>
    </row>
    <row r="10">
      <c r="A10" s="167" t="s">
        <v>78</v>
      </c>
      <c r="B10" s="167" t="s">
        <v>76</v>
      </c>
      <c r="C10" s="169">
        <v>0.0625</v>
      </c>
    </row>
    <row r="11">
      <c r="A11" s="167" t="s">
        <v>80</v>
      </c>
      <c r="B11" s="167" t="s">
        <v>73</v>
      </c>
      <c r="C11" s="169">
        <v>0.4375</v>
      </c>
      <c r="F11" s="170"/>
      <c r="H11" s="170"/>
      <c r="K11" s="169"/>
      <c r="S11" s="169"/>
    </row>
    <row r="12">
      <c r="A12" s="167" t="s">
        <v>81</v>
      </c>
      <c r="B12" s="167" t="s">
        <v>73</v>
      </c>
      <c r="C12" s="168">
        <v>1.0625</v>
      </c>
    </row>
    <row r="13">
      <c r="A13" s="167" t="s">
        <v>24</v>
      </c>
      <c r="B13" s="167" t="s">
        <v>79</v>
      </c>
      <c r="C13" s="169">
        <v>0.2916666666666667</v>
      </c>
      <c r="F13" s="170"/>
      <c r="H13" s="170"/>
      <c r="K13" s="169"/>
      <c r="S13" s="169"/>
    </row>
    <row r="14">
      <c r="A14" s="167" t="s">
        <v>24</v>
      </c>
      <c r="B14" s="167" t="s">
        <v>76</v>
      </c>
      <c r="C14" s="168">
        <v>1.1145833333333333</v>
      </c>
    </row>
    <row r="15">
      <c r="A15" s="167" t="s">
        <v>82</v>
      </c>
      <c r="B15" s="167" t="s">
        <v>79</v>
      </c>
      <c r="C15" s="169">
        <v>0.25</v>
      </c>
      <c r="F15" s="170"/>
      <c r="H15" s="170"/>
      <c r="K15" s="169"/>
      <c r="S15" s="169"/>
    </row>
    <row r="16">
      <c r="A16" s="167" t="s">
        <v>82</v>
      </c>
      <c r="B16" s="167" t="s">
        <v>76</v>
      </c>
      <c r="C16" s="168">
        <v>1.1354166666666667</v>
      </c>
    </row>
    <row r="17">
      <c r="A17" s="167" t="s">
        <v>83</v>
      </c>
      <c r="B17" s="167" t="s">
        <v>79</v>
      </c>
      <c r="C17" s="169">
        <v>0.6145833333333334</v>
      </c>
      <c r="F17" s="170"/>
      <c r="H17" s="170"/>
      <c r="K17" s="169"/>
    </row>
    <row r="18">
      <c r="A18" s="167" t="s">
        <v>83</v>
      </c>
      <c r="B18" s="167" t="s">
        <v>76</v>
      </c>
      <c r="C18" s="169">
        <v>0.75</v>
      </c>
    </row>
    <row r="19">
      <c r="A19" s="167" t="s">
        <v>84</v>
      </c>
      <c r="B19" s="167" t="s">
        <v>76</v>
      </c>
      <c r="C19" s="169">
        <v>0.7395833333333334</v>
      </c>
      <c r="S19" s="169"/>
    </row>
    <row r="20">
      <c r="A20" s="167" t="s">
        <v>85</v>
      </c>
      <c r="B20" s="167" t="s">
        <v>76</v>
      </c>
      <c r="C20" s="168">
        <v>1.1041666666666667</v>
      </c>
    </row>
    <row r="21">
      <c r="A21" s="167" t="s">
        <v>85</v>
      </c>
      <c r="B21" s="167" t="s">
        <v>79</v>
      </c>
      <c r="C21" s="169">
        <v>0.3333333333333333</v>
      </c>
      <c r="K21" s="168"/>
      <c r="S21" s="168"/>
    </row>
    <row r="22">
      <c r="A22" s="167" t="s">
        <v>86</v>
      </c>
      <c r="B22" s="167" t="s">
        <v>76</v>
      </c>
      <c r="C22" s="168">
        <v>1.6666666666666667</v>
      </c>
    </row>
    <row r="23">
      <c r="A23" s="167" t="s">
        <v>87</v>
      </c>
      <c r="B23" s="167" t="s">
        <v>76</v>
      </c>
      <c r="C23" s="169">
        <v>0.4583333333333333</v>
      </c>
    </row>
    <row r="24">
      <c r="A24" s="167" t="s">
        <v>87</v>
      </c>
      <c r="B24" s="167" t="s">
        <v>79</v>
      </c>
      <c r="C24" s="169">
        <v>0.20833333333333334</v>
      </c>
    </row>
    <row r="25">
      <c r="A25" s="167" t="s">
        <v>88</v>
      </c>
      <c r="B25" s="167" t="s">
        <v>76</v>
      </c>
      <c r="C25" s="168">
        <v>1.0520833333333333</v>
      </c>
      <c r="D25" s="168"/>
      <c r="E25" s="168"/>
    </row>
    <row r="26">
      <c r="A26" s="167" t="s">
        <v>89</v>
      </c>
      <c r="B26" s="167" t="s">
        <v>76</v>
      </c>
      <c r="C26" s="169">
        <v>0.7916666666666666</v>
      </c>
    </row>
    <row r="27">
      <c r="A27" s="167" t="s">
        <v>90</v>
      </c>
      <c r="B27" s="167" t="s">
        <v>76</v>
      </c>
      <c r="C27" s="168">
        <v>1.375</v>
      </c>
    </row>
    <row r="28">
      <c r="A28" s="167" t="s">
        <v>90</v>
      </c>
      <c r="B28" s="167" t="s">
        <v>79</v>
      </c>
      <c r="C28" s="169">
        <v>0.2916666666666667</v>
      </c>
    </row>
    <row r="29">
      <c r="A29" s="167" t="s">
        <v>91</v>
      </c>
      <c r="B29" s="167" t="s">
        <v>76</v>
      </c>
      <c r="C29" s="168">
        <v>1.6666666666666667</v>
      </c>
    </row>
    <row r="30">
      <c r="A30" s="167" t="s">
        <v>13</v>
      </c>
      <c r="B30" s="167" t="s">
        <v>76</v>
      </c>
      <c r="C30" s="168">
        <v>1.1770833333333333</v>
      </c>
    </row>
    <row r="31">
      <c r="A31" s="167" t="s">
        <v>92</v>
      </c>
      <c r="B31" s="167" t="s">
        <v>76</v>
      </c>
      <c r="C31" s="168">
        <v>1.3333333333333333</v>
      </c>
    </row>
    <row r="32">
      <c r="A32" s="167" t="s">
        <v>93</v>
      </c>
      <c r="B32" s="167" t="s">
        <v>79</v>
      </c>
      <c r="C32" s="169">
        <v>0.25</v>
      </c>
    </row>
    <row r="33">
      <c r="A33" s="167" t="s">
        <v>93</v>
      </c>
      <c r="B33" s="167" t="s">
        <v>76</v>
      </c>
      <c r="C33" s="168">
        <v>1.1145833333333333</v>
      </c>
    </row>
    <row r="34">
      <c r="A34" s="167" t="s">
        <v>22</v>
      </c>
      <c r="B34" s="167" t="s">
        <v>36</v>
      </c>
      <c r="C34" s="169">
        <v>0.9583333333333334</v>
      </c>
    </row>
    <row r="35">
      <c r="A35" s="167" t="s">
        <v>22</v>
      </c>
      <c r="B35" s="167" t="s">
        <v>79</v>
      </c>
      <c r="C35" s="169">
        <v>0.5625</v>
      </c>
      <c r="F35" s="170"/>
      <c r="H35" s="170"/>
      <c r="K35" s="169"/>
      <c r="S35" s="169"/>
    </row>
    <row r="36">
      <c r="A36" s="167" t="s">
        <v>26</v>
      </c>
      <c r="B36" s="167" t="s">
        <v>76</v>
      </c>
      <c r="C36" s="169">
        <v>0.25</v>
      </c>
    </row>
    <row r="37">
      <c r="A37" s="167" t="s">
        <v>46</v>
      </c>
      <c r="B37" s="167" t="s">
        <v>76</v>
      </c>
      <c r="C37" s="169">
        <v>0.6458333333333334</v>
      </c>
      <c r="F37" s="170"/>
      <c r="H37" s="170"/>
      <c r="K37" s="169"/>
      <c r="S37" s="169"/>
    </row>
    <row r="38">
      <c r="A38" s="167" t="s">
        <v>46</v>
      </c>
      <c r="B38" s="167" t="s">
        <v>79</v>
      </c>
      <c r="C38" s="168">
        <v>1.0208333333333333</v>
      </c>
    </row>
    <row r="39">
      <c r="A39" s="167" t="s">
        <v>94</v>
      </c>
      <c r="B39" s="167" t="s">
        <v>79</v>
      </c>
      <c r="C39" s="169">
        <v>0.4375</v>
      </c>
      <c r="F39" s="170"/>
      <c r="H39" s="170"/>
      <c r="K39" s="169"/>
      <c r="S39" s="169"/>
    </row>
    <row r="40">
      <c r="A40" s="167" t="s">
        <v>94</v>
      </c>
      <c r="B40" s="167" t="s">
        <v>36</v>
      </c>
      <c r="C40" s="169">
        <v>0.6041666666666666</v>
      </c>
    </row>
    <row r="41">
      <c r="A41" s="167" t="s">
        <v>94</v>
      </c>
      <c r="B41" s="167" t="s">
        <v>76</v>
      </c>
      <c r="C41" s="169">
        <v>0.3125</v>
      </c>
      <c r="F41" s="170"/>
      <c r="H41" s="170"/>
      <c r="K41" s="169"/>
      <c r="S41" s="169"/>
    </row>
    <row r="44">
      <c r="K44" s="168"/>
      <c r="S44" s="168"/>
    </row>
    <row r="48">
      <c r="D48" s="168"/>
      <c r="E48" s="168"/>
    </row>
    <row r="55">
      <c r="C55" s="171"/>
      <c r="F55" s="170"/>
      <c r="H55" s="170"/>
      <c r="K55" s="169"/>
      <c r="S55" s="169"/>
    </row>
    <row r="57">
      <c r="C57" s="171"/>
    </row>
    <row r="58">
      <c r="C58" s="171"/>
    </row>
    <row r="59">
      <c r="C59" s="171"/>
    </row>
    <row r="60">
      <c r="C60" s="171"/>
      <c r="F60" s="170"/>
      <c r="H60" s="170"/>
      <c r="K60" s="169"/>
      <c r="S60" s="169"/>
    </row>
    <row r="62">
      <c r="C62" s="171"/>
      <c r="F62" s="170"/>
      <c r="H62" s="170"/>
      <c r="K62" s="169"/>
      <c r="S62" s="169"/>
    </row>
    <row r="64">
      <c r="C64" s="171"/>
    </row>
    <row r="66">
      <c r="K66" s="169"/>
      <c r="S66" s="169"/>
    </row>
    <row r="70">
      <c r="D70" s="169"/>
      <c r="E70" s="169"/>
    </row>
    <row r="71">
      <c r="D71" s="169"/>
    </row>
    <row r="78">
      <c r="C78" s="171"/>
    </row>
    <row r="79">
      <c r="C79" s="171"/>
    </row>
    <row r="80">
      <c r="C80" s="171"/>
    </row>
    <row r="81">
      <c r="C81" s="171"/>
    </row>
    <row r="82">
      <c r="C82" s="171"/>
      <c r="F82" s="170"/>
      <c r="H82" s="170"/>
      <c r="K82" s="169"/>
      <c r="S82" s="169"/>
    </row>
    <row r="84">
      <c r="C84" s="171"/>
      <c r="F84" s="170"/>
      <c r="H84" s="170"/>
      <c r="K84" s="169"/>
      <c r="S84" s="169"/>
    </row>
    <row r="86">
      <c r="C86" s="171"/>
    </row>
    <row r="88">
      <c r="K88" s="169"/>
      <c r="S88" s="169"/>
    </row>
    <row r="92">
      <c r="D92" s="169"/>
      <c r="E92" s="169"/>
    </row>
    <row r="93">
      <c r="D93" s="169"/>
    </row>
    <row r="100">
      <c r="C100" s="171"/>
    </row>
    <row r="101">
      <c r="C101" s="171"/>
    </row>
    <row r="102">
      <c r="C102" s="171"/>
    </row>
    <row r="103">
      <c r="C103" s="171"/>
    </row>
    <row r="104">
      <c r="C104" s="171"/>
      <c r="F104" s="170"/>
      <c r="H104" s="170"/>
    </row>
    <row r="106">
      <c r="F106" s="170"/>
      <c r="H106" s="170"/>
      <c r="K106" s="169"/>
      <c r="S106" s="169"/>
    </row>
    <row r="108">
      <c r="C108" s="171"/>
      <c r="F108" s="170"/>
      <c r="H108" s="170"/>
    </row>
    <row r="110">
      <c r="F110" s="170"/>
      <c r="H110" s="170"/>
      <c r="K110" s="169"/>
      <c r="S110" s="169"/>
    </row>
    <row r="112">
      <c r="C112" s="171"/>
      <c r="F112" s="170"/>
      <c r="H112" s="170"/>
    </row>
    <row r="114">
      <c r="F114" s="170"/>
      <c r="H114" s="170"/>
      <c r="K114" s="169"/>
      <c r="S114" s="169"/>
    </row>
    <row r="117">
      <c r="K117" s="169"/>
      <c r="S117" s="169"/>
    </row>
    <row r="121">
      <c r="D121" s="169"/>
      <c r="E121" s="169"/>
    </row>
    <row r="122">
      <c r="D122" s="169"/>
    </row>
    <row r="123">
      <c r="D123" s="169"/>
    </row>
    <row r="130">
      <c r="C130" s="171"/>
    </row>
    <row r="131">
      <c r="C131" s="171"/>
    </row>
    <row r="132">
      <c r="C132" s="171"/>
    </row>
    <row r="133">
      <c r="C133" s="171"/>
    </row>
    <row r="134">
      <c r="C134" s="171"/>
    </row>
    <row r="135">
      <c r="C135" s="171"/>
      <c r="F135" s="170"/>
      <c r="H135" s="170"/>
      <c r="K135" s="169"/>
      <c r="S135" s="169"/>
    </row>
    <row r="137">
      <c r="C137" s="171"/>
    </row>
    <row r="139">
      <c r="K139" s="169"/>
      <c r="S139" s="169"/>
    </row>
    <row r="143">
      <c r="D143" s="169"/>
      <c r="E143" s="169"/>
    </row>
    <row r="150">
      <c r="C150" s="171"/>
      <c r="F150" s="170"/>
      <c r="H150" s="170"/>
      <c r="K150" s="169"/>
      <c r="S150" s="169"/>
    </row>
    <row r="152">
      <c r="C152" s="171"/>
    </row>
    <row r="153">
      <c r="C153" s="171"/>
    </row>
    <row r="154">
      <c r="C154" s="171"/>
    </row>
    <row r="155">
      <c r="C155" s="171"/>
      <c r="F155" s="170"/>
      <c r="H155" s="170"/>
      <c r="K155" s="169"/>
      <c r="S155" s="169"/>
    </row>
    <row r="157">
      <c r="C157" s="171"/>
      <c r="F157" s="170"/>
      <c r="H157" s="170"/>
      <c r="K157" s="169"/>
      <c r="S157" s="169"/>
    </row>
    <row r="159">
      <c r="C159" s="171"/>
      <c r="F159" s="170"/>
      <c r="H159" s="170"/>
      <c r="K159" s="169"/>
      <c r="S159" s="169"/>
    </row>
    <row r="162">
      <c r="K162" s="168"/>
      <c r="S162" s="168"/>
    </row>
    <row r="166">
      <c r="D166" s="168"/>
      <c r="E166" s="168"/>
    </row>
    <row r="173">
      <c r="C173" s="171"/>
    </row>
    <row r="174">
      <c r="C174" s="171"/>
    </row>
    <row r="175">
      <c r="C175" s="171"/>
      <c r="F175" s="170"/>
      <c r="H175" s="170"/>
      <c r="K175" s="169"/>
      <c r="S175" s="169"/>
    </row>
    <row r="177">
      <c r="C177" s="171"/>
      <c r="F177" s="170"/>
      <c r="H177" s="170"/>
      <c r="K177" s="169"/>
      <c r="S177" s="169"/>
    </row>
    <row r="179">
      <c r="C179" s="171"/>
      <c r="F179" s="170"/>
      <c r="H179" s="170"/>
      <c r="K179" s="169"/>
      <c r="S179" s="169"/>
    </row>
    <row r="181">
      <c r="C181" s="171"/>
    </row>
    <row r="182">
      <c r="C182" s="171"/>
      <c r="F182" s="170"/>
      <c r="H182" s="170"/>
      <c r="K182" s="169"/>
      <c r="S182" s="169"/>
    </row>
    <row r="185">
      <c r="K185" s="168"/>
      <c r="S185" s="168"/>
    </row>
    <row r="189">
      <c r="D189" s="168"/>
      <c r="E189" s="168"/>
    </row>
    <row r="190">
      <c r="D190" s="169"/>
    </row>
    <row r="197">
      <c r="C197" s="171"/>
    </row>
    <row r="198">
      <c r="C198" s="171"/>
    </row>
    <row r="199">
      <c r="C199" s="171"/>
      <c r="F199" s="170"/>
      <c r="H199" s="170"/>
      <c r="K199" s="169"/>
      <c r="S199" s="169"/>
    </row>
    <row r="201">
      <c r="C201" s="171"/>
      <c r="F201" s="170"/>
      <c r="H201" s="170"/>
      <c r="K201" s="169"/>
      <c r="S201" s="169"/>
    </row>
    <row r="203">
      <c r="C203" s="171"/>
      <c r="F203" s="170"/>
      <c r="H203" s="170"/>
      <c r="K203" s="169"/>
      <c r="S203" s="169"/>
    </row>
    <row r="205">
      <c r="C205" s="171"/>
      <c r="F205" s="170"/>
      <c r="H205" s="170"/>
      <c r="K205" s="169"/>
      <c r="S205" s="169"/>
    </row>
    <row r="207">
      <c r="C207" s="171"/>
      <c r="F207" s="170"/>
      <c r="H207" s="170"/>
      <c r="K207" s="169"/>
      <c r="S207" s="169"/>
    </row>
    <row r="210">
      <c r="K210" s="168"/>
      <c r="S210" s="168"/>
    </row>
    <row r="214">
      <c r="D214" s="168"/>
      <c r="E214" s="168"/>
    </row>
    <row r="215">
      <c r="D215" s="169"/>
    </row>
    <row r="222">
      <c r="C222" s="171"/>
    </row>
    <row r="223">
      <c r="C223" s="171"/>
    </row>
    <row r="224">
      <c r="C224" s="171"/>
    </row>
    <row r="225">
      <c r="C225" s="171"/>
      <c r="F225" s="170"/>
      <c r="H225" s="170"/>
      <c r="K225" s="169"/>
      <c r="S225" s="169"/>
    </row>
    <row r="227">
      <c r="C227" s="171"/>
      <c r="F227" s="170"/>
      <c r="H227" s="170"/>
    </row>
    <row r="229">
      <c r="F229" s="170"/>
      <c r="H229" s="170"/>
      <c r="K229" s="169"/>
      <c r="S229" s="169"/>
    </row>
    <row r="231">
      <c r="C231" s="171"/>
      <c r="F231" s="170"/>
      <c r="H231" s="170"/>
      <c r="K231" s="169"/>
      <c r="S231" s="169"/>
    </row>
    <row r="233">
      <c r="C233" s="171"/>
      <c r="F233" s="170"/>
      <c r="H233" s="170"/>
      <c r="K233" s="169"/>
      <c r="S233" s="169"/>
    </row>
    <row r="236">
      <c r="K236" s="168"/>
      <c r="S236" s="168"/>
    </row>
    <row r="240">
      <c r="D240" s="169"/>
      <c r="E240" s="168"/>
    </row>
    <row r="241">
      <c r="D241" s="169"/>
    </row>
    <row r="248">
      <c r="C248" s="171"/>
    </row>
    <row r="249">
      <c r="C249" s="171"/>
    </row>
    <row r="250">
      <c r="C250" s="171"/>
    </row>
    <row r="251">
      <c r="C251" s="171"/>
    </row>
    <row r="252">
      <c r="C252" s="171"/>
      <c r="F252" s="170"/>
      <c r="H252" s="170"/>
      <c r="K252" s="169"/>
      <c r="S252" s="169"/>
    </row>
    <row r="254">
      <c r="C254" s="171"/>
      <c r="F254" s="170"/>
      <c r="H254" s="170"/>
      <c r="K254" s="169"/>
      <c r="S254" s="169"/>
    </row>
    <row r="256">
      <c r="C256" s="171"/>
      <c r="F256" s="170"/>
      <c r="H256" s="170"/>
      <c r="K256" s="169"/>
      <c r="S256" s="169"/>
    </row>
    <row r="259">
      <c r="K259" s="169"/>
      <c r="S259" s="169"/>
    </row>
    <row r="263">
      <c r="D263" s="169"/>
      <c r="E263" s="169"/>
    </row>
    <row r="270">
      <c r="C270" s="171"/>
      <c r="F270" s="170"/>
      <c r="H270" s="170"/>
      <c r="K270" s="169"/>
      <c r="S270" s="169"/>
    </row>
    <row r="272">
      <c r="C272" s="171"/>
    </row>
    <row r="273">
      <c r="C273" s="171"/>
    </row>
    <row r="274">
      <c r="C274" s="171"/>
      <c r="F274" s="170"/>
      <c r="H274" s="170"/>
      <c r="K274" s="169"/>
      <c r="S274" s="169"/>
    </row>
    <row r="276">
      <c r="C276" s="171"/>
    </row>
    <row r="277">
      <c r="C277" s="171"/>
      <c r="F277" s="170"/>
      <c r="H277" s="170"/>
      <c r="K277" s="169"/>
      <c r="S277" s="169"/>
    </row>
    <row r="279">
      <c r="C279" s="171"/>
      <c r="F279" s="170"/>
      <c r="H279" s="170"/>
      <c r="K279" s="169"/>
      <c r="S279" s="169"/>
    </row>
    <row r="282">
      <c r="K282" s="168"/>
      <c r="S282" s="168"/>
    </row>
    <row r="286">
      <c r="D286" s="168"/>
      <c r="E286" s="168"/>
    </row>
    <row r="287">
      <c r="D287" s="169"/>
    </row>
    <row r="294">
      <c r="C294" s="171"/>
      <c r="F294" s="170"/>
      <c r="H294" s="170"/>
      <c r="K294" s="169"/>
      <c r="S294" s="169"/>
    </row>
    <row r="296">
      <c r="C296" s="171"/>
    </row>
    <row r="297">
      <c r="C297" s="171"/>
    </row>
    <row r="298">
      <c r="C298" s="171"/>
      <c r="F298" s="170"/>
      <c r="H298" s="170"/>
      <c r="K298" s="169"/>
      <c r="S298" s="169"/>
    </row>
    <row r="300">
      <c r="C300" s="171"/>
      <c r="F300" s="170"/>
      <c r="H300" s="170"/>
      <c r="K300" s="169"/>
      <c r="S300" s="169"/>
    </row>
    <row r="302">
      <c r="C302" s="171"/>
      <c r="F302" s="170"/>
      <c r="H302" s="170"/>
      <c r="K302" s="169"/>
      <c r="S302" s="169"/>
    </row>
    <row r="304">
      <c r="C304" s="171"/>
      <c r="F304" s="170"/>
      <c r="H304" s="170"/>
      <c r="K304" s="169"/>
    </row>
    <row r="306">
      <c r="K306" s="168"/>
      <c r="L306" s="169"/>
      <c r="S306" s="169"/>
    </row>
    <row r="308">
      <c r="K308" s="168"/>
      <c r="L308" s="169"/>
      <c r="S308" s="168"/>
    </row>
    <row r="312">
      <c r="D312" s="168"/>
      <c r="E312" s="168"/>
    </row>
    <row r="319">
      <c r="C319" s="171"/>
    </row>
    <row r="320">
      <c r="C320" s="171"/>
    </row>
    <row r="321">
      <c r="C321" s="171"/>
    </row>
    <row r="322">
      <c r="C322" s="171"/>
    </row>
    <row r="323">
      <c r="C323" s="171"/>
    </row>
    <row r="324">
      <c r="C324" s="171"/>
      <c r="F324" s="170"/>
      <c r="H324" s="170"/>
      <c r="K324" s="169"/>
      <c r="S324" s="169"/>
    </row>
    <row r="326">
      <c r="C326" s="171"/>
      <c r="F326" s="170"/>
      <c r="H326" s="170"/>
    </row>
    <row r="328">
      <c r="F328" s="170"/>
      <c r="H328" s="170"/>
      <c r="K328" s="169"/>
      <c r="S328" s="169"/>
    </row>
    <row r="331">
      <c r="K331" s="169"/>
      <c r="S331" s="169"/>
    </row>
    <row r="335">
      <c r="D335" s="169"/>
      <c r="E335" s="169"/>
    </row>
    <row r="336">
      <c r="D336" s="169"/>
    </row>
    <row r="343">
      <c r="C343" s="171"/>
    </row>
    <row r="344">
      <c r="C344" s="171"/>
    </row>
    <row r="345">
      <c r="C345" s="171"/>
    </row>
    <row r="346">
      <c r="C346" s="171"/>
      <c r="F346" s="170"/>
      <c r="H346" s="170"/>
      <c r="K346" s="169"/>
      <c r="S346" s="169"/>
    </row>
    <row r="348">
      <c r="C348" s="171"/>
      <c r="F348" s="170"/>
      <c r="H348" s="170"/>
      <c r="K348" s="169"/>
      <c r="S348" s="169"/>
    </row>
    <row r="350">
      <c r="C350" s="171"/>
      <c r="F350" s="170"/>
      <c r="H350" s="170"/>
      <c r="K350" s="169"/>
      <c r="S350" s="169"/>
    </row>
    <row r="352">
      <c r="C352" s="171"/>
      <c r="F352" s="170"/>
      <c r="H352" s="170"/>
      <c r="K352" s="169"/>
      <c r="S352" s="169"/>
    </row>
    <row r="355">
      <c r="K355" s="168"/>
      <c r="S355" s="168"/>
    </row>
    <row r="359">
      <c r="D359" s="168"/>
      <c r="E359" s="168"/>
    </row>
    <row r="366">
      <c r="C366" s="171"/>
    </row>
    <row r="367">
      <c r="C367" s="171"/>
    </row>
    <row r="368">
      <c r="C368" s="171"/>
    </row>
    <row r="369">
      <c r="C369" s="171"/>
    </row>
    <row r="370">
      <c r="C370" s="171"/>
      <c r="F370" s="170"/>
      <c r="H370" s="170"/>
      <c r="K370" s="169"/>
      <c r="S370" s="169"/>
    </row>
    <row r="372">
      <c r="C372" s="171"/>
      <c r="F372" s="170"/>
      <c r="H372" s="170"/>
      <c r="K372" s="169"/>
      <c r="S372" s="169"/>
    </row>
    <row r="374">
      <c r="C374" s="171"/>
      <c r="F374" s="170"/>
      <c r="H374" s="170"/>
      <c r="K374" s="169"/>
      <c r="S374" s="169"/>
    </row>
    <row r="377">
      <c r="K377" s="169"/>
      <c r="S377" s="169"/>
    </row>
    <row r="381">
      <c r="D381" s="169"/>
      <c r="E381" s="169"/>
    </row>
    <row r="388">
      <c r="C388" s="171"/>
      <c r="F388" s="170"/>
      <c r="H388" s="170"/>
      <c r="K388" s="169"/>
      <c r="S388" s="169"/>
    </row>
    <row r="390">
      <c r="C390" s="171"/>
    </row>
    <row r="391">
      <c r="C391" s="171"/>
      <c r="F391" s="170"/>
      <c r="H391" s="170"/>
      <c r="K391" s="169"/>
      <c r="S391" s="169"/>
    </row>
    <row r="393">
      <c r="C393" s="171"/>
      <c r="F393" s="170"/>
      <c r="H393" s="170"/>
      <c r="K393" s="169"/>
      <c r="S393" s="169"/>
    </row>
    <row r="395">
      <c r="C395" s="171"/>
      <c r="F395" s="170"/>
      <c r="H395" s="170"/>
      <c r="K395" s="169"/>
      <c r="S395" s="169"/>
    </row>
    <row r="397">
      <c r="C397" s="171"/>
      <c r="F397" s="170"/>
      <c r="H397" s="170"/>
      <c r="K397" s="169"/>
      <c r="S397" s="169"/>
    </row>
    <row r="399">
      <c r="C399" s="171"/>
      <c r="F399" s="170"/>
      <c r="H399" s="170"/>
      <c r="K399" s="169"/>
    </row>
    <row r="401">
      <c r="K401" s="168"/>
      <c r="L401" s="169"/>
      <c r="S401" s="169"/>
    </row>
    <row r="403">
      <c r="K403" s="168"/>
      <c r="L403" s="169"/>
      <c r="S403" s="168"/>
    </row>
    <row r="407">
      <c r="D407" s="168"/>
      <c r="E407" s="168"/>
    </row>
    <row r="408">
      <c r="D408" s="169"/>
    </row>
    <row r="415">
      <c r="C415" s="171"/>
      <c r="F415" s="170"/>
      <c r="H415" s="170"/>
      <c r="K415" s="169"/>
      <c r="S415" s="169"/>
    </row>
    <row r="417">
      <c r="C417" s="171"/>
    </row>
    <row r="418">
      <c r="C418" s="171"/>
    </row>
    <row r="419">
      <c r="C419" s="171"/>
      <c r="F419" s="170"/>
      <c r="H419" s="170"/>
      <c r="K419" s="169"/>
      <c r="S419" s="169"/>
    </row>
    <row r="421">
      <c r="C421" s="171"/>
      <c r="F421" s="170"/>
      <c r="H421" s="170"/>
      <c r="K421" s="169"/>
      <c r="S421" s="169"/>
    </row>
    <row r="423">
      <c r="C423" s="171"/>
      <c r="F423" s="170"/>
      <c r="H423" s="170"/>
      <c r="K423" s="169"/>
      <c r="S423" s="169"/>
    </row>
    <row r="425">
      <c r="C425" s="171"/>
      <c r="F425" s="170"/>
      <c r="H425" s="170"/>
      <c r="K425" s="169"/>
    </row>
    <row r="427">
      <c r="K427" s="168"/>
      <c r="L427" s="169"/>
      <c r="S427" s="169"/>
    </row>
    <row r="429">
      <c r="K429" s="168"/>
      <c r="L429" s="169"/>
      <c r="S429" s="168"/>
    </row>
    <row r="433">
      <c r="D433" s="168"/>
      <c r="E433" s="168"/>
    </row>
    <row r="440">
      <c r="C440" s="171"/>
    </row>
    <row r="441">
      <c r="C441" s="171"/>
    </row>
    <row r="442">
      <c r="C442" s="171"/>
    </row>
    <row r="443">
      <c r="C443" s="171"/>
    </row>
    <row r="444">
      <c r="C444" s="171"/>
      <c r="F444" s="170"/>
      <c r="H444" s="170"/>
      <c r="K444" s="169"/>
      <c r="S444" s="169"/>
    </row>
    <row r="446">
      <c r="C446" s="171"/>
      <c r="F446" s="170"/>
      <c r="H446" s="170"/>
      <c r="K446" s="169"/>
      <c r="S446" s="169"/>
    </row>
    <row r="448">
      <c r="C448" s="171"/>
      <c r="F448" s="170"/>
      <c r="H448" s="170"/>
      <c r="K448" s="169"/>
      <c r="S448" s="169"/>
    </row>
    <row r="451">
      <c r="K451" s="168"/>
      <c r="S451" s="168"/>
    </row>
    <row r="455">
      <c r="D455" s="168"/>
      <c r="E455" s="168"/>
    </row>
    <row r="462">
      <c r="C462" s="171"/>
      <c r="F462" s="170"/>
      <c r="H462" s="170"/>
      <c r="K462" s="169"/>
      <c r="S462" s="169"/>
    </row>
    <row r="464">
      <c r="C464" s="171"/>
    </row>
    <row r="465">
      <c r="C465" s="171"/>
    </row>
    <row r="466">
      <c r="C466" s="171"/>
      <c r="F466" s="170"/>
      <c r="H466" s="170"/>
      <c r="K466" s="169"/>
      <c r="S466" s="169"/>
    </row>
    <row r="468">
      <c r="C468" s="171"/>
      <c r="F468" s="170"/>
      <c r="H468" s="170"/>
      <c r="K468" s="169"/>
      <c r="S468" s="169"/>
    </row>
    <row r="470">
      <c r="C470" s="171"/>
      <c r="F470" s="170"/>
      <c r="H470" s="170"/>
      <c r="K470" s="169"/>
      <c r="S470" s="169"/>
    </row>
    <row r="472">
      <c r="C472" s="171"/>
      <c r="F472" s="170"/>
      <c r="H472" s="170"/>
      <c r="K472" s="169"/>
      <c r="S472" s="169"/>
    </row>
    <row r="475">
      <c r="K475" s="168"/>
      <c r="S475" s="168"/>
    </row>
    <row r="479">
      <c r="D479" s="168"/>
      <c r="E479" s="168"/>
    </row>
    <row r="486">
      <c r="C486" s="171"/>
    </row>
    <row r="487">
      <c r="C487" s="171"/>
    </row>
    <row r="488">
      <c r="C488" s="171"/>
    </row>
    <row r="489">
      <c r="C489" s="171"/>
      <c r="F489" s="170"/>
      <c r="H489" s="170"/>
      <c r="K489" s="169"/>
      <c r="S489" s="169"/>
    </row>
    <row r="491">
      <c r="C491" s="171"/>
      <c r="F491" s="170"/>
      <c r="H491" s="170"/>
      <c r="K491" s="169"/>
      <c r="S491" s="169"/>
    </row>
    <row r="493">
      <c r="C493" s="171"/>
      <c r="F493" s="170"/>
      <c r="H493" s="170"/>
      <c r="K493" s="169"/>
      <c r="S493" s="169"/>
    </row>
    <row r="495">
      <c r="C495" s="171"/>
      <c r="F495" s="170"/>
      <c r="H495" s="170"/>
      <c r="K495" s="169"/>
      <c r="S495" s="169"/>
    </row>
    <row r="498">
      <c r="K498" s="168"/>
      <c r="S498" s="168"/>
    </row>
    <row r="502">
      <c r="D502" s="168"/>
      <c r="E502" s="168"/>
    </row>
    <row r="503">
      <c r="D503" s="169"/>
    </row>
    <row r="510">
      <c r="C510" s="171"/>
    </row>
    <row r="511">
      <c r="C511" s="171"/>
    </row>
    <row r="512">
      <c r="C512" s="171"/>
    </row>
    <row r="513">
      <c r="C513" s="171"/>
      <c r="F513" s="170"/>
      <c r="H513" s="170"/>
    </row>
    <row r="515">
      <c r="F515" s="170"/>
      <c r="H515" s="170"/>
      <c r="K515" s="169"/>
      <c r="S515" s="169"/>
    </row>
    <row r="517">
      <c r="C517" s="171"/>
      <c r="F517" s="170"/>
      <c r="H517" s="170"/>
    </row>
    <row r="519">
      <c r="F519" s="170"/>
      <c r="H519" s="170"/>
      <c r="K519" s="169"/>
      <c r="S519" s="169"/>
    </row>
    <row r="521">
      <c r="C521" s="171"/>
      <c r="F521" s="170"/>
      <c r="H521" s="170"/>
    </row>
    <row r="523">
      <c r="F523" s="170"/>
      <c r="H523" s="170"/>
      <c r="K523" s="169"/>
      <c r="S523" s="169"/>
    </row>
    <row r="525">
      <c r="C525" s="171"/>
      <c r="F525" s="170"/>
      <c r="H525" s="170"/>
    </row>
    <row r="527">
      <c r="F527" s="170"/>
      <c r="H527" s="170"/>
      <c r="K527" s="169"/>
      <c r="S527" s="169"/>
    </row>
    <row r="530">
      <c r="K530" s="168"/>
      <c r="S530" s="168"/>
    </row>
    <row r="534">
      <c r="D534" s="169"/>
      <c r="E534" s="168"/>
    </row>
    <row r="535">
      <c r="D535" s="169"/>
    </row>
    <row r="542">
      <c r="C542" s="171"/>
    </row>
    <row r="543">
      <c r="C543" s="171"/>
    </row>
    <row r="544">
      <c r="C544" s="171"/>
      <c r="F544" s="170"/>
      <c r="H544" s="170"/>
      <c r="K544" s="169"/>
      <c r="S544" s="169"/>
    </row>
    <row r="546">
      <c r="C546" s="171"/>
    </row>
    <row r="547">
      <c r="C547" s="171"/>
    </row>
    <row r="548">
      <c r="C548" s="171"/>
    </row>
    <row r="549">
      <c r="C549" s="171"/>
    </row>
    <row r="551">
      <c r="K551" s="169"/>
      <c r="S551" s="169"/>
    </row>
    <row r="555">
      <c r="D555" s="169"/>
      <c r="E555" s="169"/>
    </row>
    <row r="562">
      <c r="C562" s="171"/>
    </row>
    <row r="563">
      <c r="C563" s="171"/>
    </row>
    <row r="564">
      <c r="C564" s="171"/>
      <c r="F564" s="170"/>
      <c r="H564" s="170"/>
      <c r="K564" s="169"/>
      <c r="S564" s="169"/>
    </row>
    <row r="566">
      <c r="C566" s="171"/>
      <c r="F566" s="170"/>
      <c r="H566" s="170"/>
      <c r="K566" s="169"/>
      <c r="S566" s="169"/>
    </row>
    <row r="568">
      <c r="C568" s="171"/>
      <c r="F568" s="170"/>
      <c r="H568" s="170"/>
    </row>
    <row r="570">
      <c r="F570" s="170"/>
      <c r="H570" s="170"/>
      <c r="K570" s="169"/>
      <c r="S570" s="169"/>
    </row>
    <row r="572">
      <c r="C572" s="171"/>
      <c r="F572" s="170"/>
      <c r="H572" s="170"/>
      <c r="K572" s="169"/>
      <c r="S572" s="169"/>
    </row>
    <row r="574">
      <c r="C574" s="171"/>
      <c r="F574" s="170"/>
      <c r="H574" s="170"/>
      <c r="K574" s="169"/>
    </row>
    <row r="576">
      <c r="K576" s="168"/>
      <c r="L576" s="169"/>
      <c r="S576" s="169"/>
    </row>
    <row r="578">
      <c r="K578" s="168"/>
      <c r="L578" s="169"/>
      <c r="S578" s="168"/>
    </row>
    <row r="582">
      <c r="D582" s="169"/>
      <c r="E582" s="168"/>
    </row>
    <row r="583">
      <c r="D583" s="168"/>
    </row>
    <row r="590">
      <c r="C590" s="171"/>
    </row>
    <row r="591">
      <c r="C591" s="171"/>
    </row>
    <row r="592">
      <c r="C592" s="171"/>
    </row>
    <row r="593">
      <c r="C593" s="171"/>
      <c r="F593" s="170"/>
      <c r="H593" s="170"/>
    </row>
    <row r="595">
      <c r="F595" s="170"/>
      <c r="H595" s="170"/>
      <c r="K595" s="169"/>
      <c r="S595" s="169"/>
    </row>
    <row r="597">
      <c r="C597" s="171"/>
      <c r="F597" s="170"/>
      <c r="H597" s="170"/>
    </row>
    <row r="599">
      <c r="F599" s="170"/>
      <c r="H599" s="170"/>
      <c r="K599" s="169"/>
      <c r="S599" s="169"/>
    </row>
    <row r="601">
      <c r="C601" s="171"/>
      <c r="F601" s="170"/>
      <c r="H601" s="170"/>
      <c r="K601" s="169"/>
      <c r="S601" s="169"/>
    </row>
    <row r="603">
      <c r="C603" s="171"/>
      <c r="F603" s="170"/>
      <c r="H603" s="170"/>
    </row>
    <row r="605">
      <c r="F605" s="170"/>
      <c r="H605" s="170"/>
      <c r="K605" s="169"/>
      <c r="S605" s="169"/>
    </row>
    <row r="608">
      <c r="K608" s="168"/>
      <c r="S608" s="168"/>
    </row>
    <row r="612">
      <c r="D612" s="169"/>
      <c r="E612" s="168"/>
    </row>
    <row r="613">
      <c r="D613" s="169"/>
    </row>
    <row r="614">
      <c r="D614" s="16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2017-11-20T18:14:02Z</dcterms:created>
  <dc:creator>Tatiana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0x01010099F19C3F0BFBC94E8E48B0FD619BD304</vt:lpwstr>
  </property>
</Properties>
</file>